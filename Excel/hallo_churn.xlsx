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uuh\OneDrive\Desktop\Hulu it me\Excel\"/>
    </mc:Choice>
  </mc:AlternateContent>
  <xr:revisionPtr revIDLastSave="0" documentId="13_ncr:1_{029CB235-FBBE-4497-98EE-689D46638D92}" xr6:coauthVersionLast="47" xr6:coauthVersionMax="47" xr10:uidLastSave="{00000000-0000-0000-0000-000000000000}"/>
  <bookViews>
    <workbookView xWindow="-108" yWindow="-108" windowWidth="23256" windowHeight="12456" activeTab="2" xr2:uid="{3B28BC2A-6D42-444D-94BB-211F5CC426E2}"/>
  </bookViews>
  <sheets>
    <sheet name="raw_data_clean_2" sheetId="2" r:id="rId1"/>
    <sheet name="PivotTables" sheetId="1" r:id="rId2"/>
    <sheet name="Dashboard" sheetId="3" r:id="rId3"/>
    <sheet name="Summary" sheetId="4" r:id="rId4"/>
  </sheets>
  <definedNames>
    <definedName name="ExternalData_1" localSheetId="0" hidden="1">'raw_data_clean_2'!$A$1:$L$179</definedName>
    <definedName name="Slicer_Month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N3" i="2"/>
  <c r="G30" i="1"/>
  <c r="F30" i="1"/>
  <c r="E30" i="1"/>
  <c r="O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75ED5-9276-4706-A1CA-79E110CAAA32}" keepAlive="1" name="Query - raw_data_clean_2" description="Connection to the 'raw_data_clean_2' query in the workbook." type="5" refreshedVersion="8" background="1" saveData="1">
    <dbPr connection="Provider=Microsoft.Mashup.OleDb.1;Data Source=$Workbook$;Location=raw_data_clean_2;Extended Properties=&quot;&quot;" command="SELECT * FROM [raw_data_clean_2]"/>
  </connection>
</connections>
</file>

<file path=xl/sharedStrings.xml><?xml version="1.0" encoding="utf-8"?>
<sst xmlns="http://schemas.openxmlformats.org/spreadsheetml/2006/main" count="815" uniqueCount="269">
  <si>
    <t>CustomerID</t>
  </si>
  <si>
    <t>SignupDate</t>
  </si>
  <si>
    <t>Country</t>
  </si>
  <si>
    <t>Age</t>
  </si>
  <si>
    <t>MonthlySpend</t>
  </si>
  <si>
    <t>Churned</t>
  </si>
  <si>
    <t>WatchTimeHours</t>
  </si>
  <si>
    <t>C1000</t>
  </si>
  <si>
    <t>Philippines</t>
  </si>
  <si>
    <t>C1001</t>
  </si>
  <si>
    <t>C1002</t>
  </si>
  <si>
    <t>USA</t>
  </si>
  <si>
    <t>C1003</t>
  </si>
  <si>
    <t>C1004</t>
  </si>
  <si>
    <t>C1005</t>
  </si>
  <si>
    <t>C1007</t>
  </si>
  <si>
    <t>C1008</t>
  </si>
  <si>
    <t>UK</t>
  </si>
  <si>
    <t>C1009</t>
  </si>
  <si>
    <t>C1011</t>
  </si>
  <si>
    <t>C1012</t>
  </si>
  <si>
    <t>C1013</t>
  </si>
  <si>
    <t>C1014</t>
  </si>
  <si>
    <t>C1015</t>
  </si>
  <si>
    <t>Unknown</t>
  </si>
  <si>
    <t>C1016</t>
  </si>
  <si>
    <t>C1017</t>
  </si>
  <si>
    <t>C1018</t>
  </si>
  <si>
    <t>C1019</t>
  </si>
  <si>
    <t>C1020</t>
  </si>
  <si>
    <t>C1021</t>
  </si>
  <si>
    <t>C1022</t>
  </si>
  <si>
    <t>C1023</t>
  </si>
  <si>
    <t>C1024</t>
  </si>
  <si>
    <t>C1025</t>
  </si>
  <si>
    <t>C1026</t>
  </si>
  <si>
    <t>C1027</t>
  </si>
  <si>
    <t>C1028</t>
  </si>
  <si>
    <t>C1030</t>
  </si>
  <si>
    <t>C1031</t>
  </si>
  <si>
    <t>C1033</t>
  </si>
  <si>
    <t>C1034</t>
  </si>
  <si>
    <t>C1035</t>
  </si>
  <si>
    <t>C1036</t>
  </si>
  <si>
    <t>C1038</t>
  </si>
  <si>
    <t>C1039</t>
  </si>
  <si>
    <t>C1040</t>
  </si>
  <si>
    <t>C1041</t>
  </si>
  <si>
    <t>C1043</t>
  </si>
  <si>
    <t>C1044</t>
  </si>
  <si>
    <t>C1045</t>
  </si>
  <si>
    <t>C1046</t>
  </si>
  <si>
    <t>C1047</t>
  </si>
  <si>
    <t>C1048</t>
  </si>
  <si>
    <t>C1049</t>
  </si>
  <si>
    <t>C1050</t>
  </si>
  <si>
    <t>C1051</t>
  </si>
  <si>
    <t>C1052</t>
  </si>
  <si>
    <t>C1053</t>
  </si>
  <si>
    <t>C1054</t>
  </si>
  <si>
    <t>C1055</t>
  </si>
  <si>
    <t>C1057</t>
  </si>
  <si>
    <t>C1059</t>
  </si>
  <si>
    <t>C1060</t>
  </si>
  <si>
    <t>C1061</t>
  </si>
  <si>
    <t>C1062</t>
  </si>
  <si>
    <t>C1063</t>
  </si>
  <si>
    <t>C1064</t>
  </si>
  <si>
    <t>C1065</t>
  </si>
  <si>
    <t>C1066</t>
  </si>
  <si>
    <t>C1067</t>
  </si>
  <si>
    <t>C1069</t>
  </si>
  <si>
    <t>C1070</t>
  </si>
  <si>
    <t>C1071</t>
  </si>
  <si>
    <t>C1073</t>
  </si>
  <si>
    <t>C1074</t>
  </si>
  <si>
    <t>C1075</t>
  </si>
  <si>
    <t>C1076</t>
  </si>
  <si>
    <t>C1078</t>
  </si>
  <si>
    <t>C1079</t>
  </si>
  <si>
    <t>C1080</t>
  </si>
  <si>
    <t>C1081</t>
  </si>
  <si>
    <t>C1082</t>
  </si>
  <si>
    <t>C1084</t>
  </si>
  <si>
    <t>C1085</t>
  </si>
  <si>
    <t>C1086</t>
  </si>
  <si>
    <t>C1087</t>
  </si>
  <si>
    <t>C1088</t>
  </si>
  <si>
    <t>C1089</t>
  </si>
  <si>
    <t>C1090</t>
  </si>
  <si>
    <t>C1091</t>
  </si>
  <si>
    <t>C1092</t>
  </si>
  <si>
    <t>C1093</t>
  </si>
  <si>
    <t>C1094</t>
  </si>
  <si>
    <t>C1095</t>
  </si>
  <si>
    <t>C1096</t>
  </si>
  <si>
    <t>C1097</t>
  </si>
  <si>
    <t>C1099</t>
  </si>
  <si>
    <t>C1101</t>
  </si>
  <si>
    <t>C1102</t>
  </si>
  <si>
    <t>C1103</t>
  </si>
  <si>
    <t>C1104</t>
  </si>
  <si>
    <t>C1105</t>
  </si>
  <si>
    <t>C1106</t>
  </si>
  <si>
    <t>C1107</t>
  </si>
  <si>
    <t>C1108</t>
  </si>
  <si>
    <t>C1110</t>
  </si>
  <si>
    <t>C1111</t>
  </si>
  <si>
    <t>C1112</t>
  </si>
  <si>
    <t>C1113</t>
  </si>
  <si>
    <t>C1114</t>
  </si>
  <si>
    <t>C1115</t>
  </si>
  <si>
    <t>C1116</t>
  </si>
  <si>
    <t>C1117</t>
  </si>
  <si>
    <t>C1118</t>
  </si>
  <si>
    <t>C1119</t>
  </si>
  <si>
    <t>C1120</t>
  </si>
  <si>
    <t>C1121</t>
  </si>
  <si>
    <t>C1122</t>
  </si>
  <si>
    <t>C1123</t>
  </si>
  <si>
    <t>C1124</t>
  </si>
  <si>
    <t>C1125</t>
  </si>
  <si>
    <t>C1126</t>
  </si>
  <si>
    <t>C1127</t>
  </si>
  <si>
    <t>C1129</t>
  </si>
  <si>
    <t>C1130</t>
  </si>
  <si>
    <t>C1131</t>
  </si>
  <si>
    <t>C1132</t>
  </si>
  <si>
    <t>C1133</t>
  </si>
  <si>
    <t>C1134</t>
  </si>
  <si>
    <t>C1135</t>
  </si>
  <si>
    <t>C1136</t>
  </si>
  <si>
    <t>C1137</t>
  </si>
  <si>
    <t>C1138</t>
  </si>
  <si>
    <t>C1139</t>
  </si>
  <si>
    <t>C1140</t>
  </si>
  <si>
    <t>C1141</t>
  </si>
  <si>
    <t>C1142</t>
  </si>
  <si>
    <t>C1143</t>
  </si>
  <si>
    <t>C1144</t>
  </si>
  <si>
    <t>C1146</t>
  </si>
  <si>
    <t>C1147</t>
  </si>
  <si>
    <t>C1149</t>
  </si>
  <si>
    <t>C1150</t>
  </si>
  <si>
    <t>C1151</t>
  </si>
  <si>
    <t>C1152</t>
  </si>
  <si>
    <t>C1153</t>
  </si>
  <si>
    <t>C1154</t>
  </si>
  <si>
    <t>C1155</t>
  </si>
  <si>
    <t>C1156</t>
  </si>
  <si>
    <t>C1157</t>
  </si>
  <si>
    <t>C1158</t>
  </si>
  <si>
    <t>C1159</t>
  </si>
  <si>
    <t>C1160</t>
  </si>
  <si>
    <t>C1161</t>
  </si>
  <si>
    <t>C1162</t>
  </si>
  <si>
    <t>C1163</t>
  </si>
  <si>
    <t>C1165</t>
  </si>
  <si>
    <t>C1166</t>
  </si>
  <si>
    <t>C1167</t>
  </si>
  <si>
    <t>C1169</t>
  </si>
  <si>
    <t>C1170</t>
  </si>
  <si>
    <t>C1172</t>
  </si>
  <si>
    <t>C1173</t>
  </si>
  <si>
    <t>C1174</t>
  </si>
  <si>
    <t>C1175</t>
  </si>
  <si>
    <t>C1176</t>
  </si>
  <si>
    <t>C1177</t>
  </si>
  <si>
    <t>C1178</t>
  </si>
  <si>
    <t>C1179</t>
  </si>
  <si>
    <t>C1180</t>
  </si>
  <si>
    <t>C1181</t>
  </si>
  <si>
    <t>C1182</t>
  </si>
  <si>
    <t>C1183</t>
  </si>
  <si>
    <t>C1184</t>
  </si>
  <si>
    <t>C1185</t>
  </si>
  <si>
    <t>C1186</t>
  </si>
  <si>
    <t>C1187</t>
  </si>
  <si>
    <t>C1188</t>
  </si>
  <si>
    <t>C1189</t>
  </si>
  <si>
    <t>C1191</t>
  </si>
  <si>
    <t>C1192</t>
  </si>
  <si>
    <t>C1193</t>
  </si>
  <si>
    <t>C1194</t>
  </si>
  <si>
    <t>C1195</t>
  </si>
  <si>
    <t>C1196</t>
  </si>
  <si>
    <t>C1197</t>
  </si>
  <si>
    <t>C1198</t>
  </si>
  <si>
    <t>C1199</t>
  </si>
  <si>
    <t>Row Labels</t>
  </si>
  <si>
    <t>Grand Total</t>
  </si>
  <si>
    <t>Jan</t>
  </si>
  <si>
    <t>Feb</t>
  </si>
  <si>
    <t>Mar</t>
  </si>
  <si>
    <t>Apr</t>
  </si>
  <si>
    <t>May</t>
  </si>
  <si>
    <t>Jun</t>
  </si>
  <si>
    <t>Jul</t>
  </si>
  <si>
    <t>Aug</t>
  </si>
  <si>
    <t>Sep</t>
  </si>
  <si>
    <t>Oct</t>
  </si>
  <si>
    <t>Nov</t>
  </si>
  <si>
    <t>Dec</t>
  </si>
  <si>
    <t>Sum of Churned</t>
  </si>
  <si>
    <t>Sum of MonthlySpend</t>
  </si>
  <si>
    <t>age_bracket</t>
  </si>
  <si>
    <t>Mid-career(35-44)</t>
  </si>
  <si>
    <t>Late Career(55-64)</t>
  </si>
  <si>
    <t>Experienced Professionals(45-54)</t>
  </si>
  <si>
    <t>Early professionals(25-34)</t>
  </si>
  <si>
    <t>Young Adults(18-24)</t>
  </si>
  <si>
    <t>Average of WatchTimeHours</t>
  </si>
  <si>
    <t>Count of CustomerID</t>
  </si>
  <si>
    <t>Sum of totalchurn_pct</t>
  </si>
  <si>
    <t>Churn Rate %</t>
  </si>
  <si>
    <t>Avg Watchtime</t>
  </si>
  <si>
    <t>Total Customer</t>
  </si>
  <si>
    <t>Total Churn</t>
  </si>
  <si>
    <t>Average Spending</t>
  </si>
  <si>
    <t>Year</t>
  </si>
  <si>
    <t>Month</t>
  </si>
  <si>
    <t>Day</t>
  </si>
  <si>
    <t>User Churn Analysis (Small Project)</t>
  </si>
  <si>
    <t>Month Name</t>
  </si>
  <si>
    <t>March</t>
  </si>
  <si>
    <t>April</t>
  </si>
  <si>
    <t>December</t>
  </si>
  <si>
    <t>September</t>
  </si>
  <si>
    <t>June</t>
  </si>
  <si>
    <t>July</t>
  </si>
  <si>
    <t>November</t>
  </si>
  <si>
    <t>October</t>
  </si>
  <si>
    <t>February</t>
  </si>
  <si>
    <t>January</t>
  </si>
  <si>
    <t>August</t>
  </si>
  <si>
    <t>Overview</t>
  </si>
  <si>
    <t>Churn Rate</t>
  </si>
  <si>
    <t>Observation</t>
  </si>
  <si>
    <t>–  The overall churn rate is 30.34% — roughly 1 in 3 customers has churned, which is a significant retention concern for the business.</t>
  </si>
  <si>
    <t>–  February shows the highest monthly churn share, while December records the lowest — suggesting seasonal patterns in subscriber behavior.</t>
  </si>
  <si>
    <t>Action</t>
  </si>
  <si>
    <t>–  Prioritize retention campaigns in Q1 (January–March) when churn share is highest. Investigate what drives Q4 loyalty and replicate those conditions year-round.</t>
  </si>
  <si>
    <t>Country Distribution &amp; Risk</t>
  </si>
  <si>
    <t>–  Philippines has the largest customer base (44.94%, ~80 customers) and the highest absolute churn count — but this is driven by pool size, not necessarily higher churn rate.</t>
  </si>
  <si>
    <t>–  UK has the highest average spending ($2,210) and a churn rate of ~25.9%, placing it in the Moderate Risk category.</t>
  </si>
  <si>
    <t>–  27 customers have Unknown country origins — a data quality gap that limits geographic analysis accuracy.</t>
  </si>
  <si>
    <t>–  Resolve the Unknown country records through data enrichment or onboarding form improvements — this 15%+ gap weakens segmentation accuracy.</t>
  </si>
  <si>
    <t>–  Focus retention efforts on the Philippines given its size, and investigate why UK customers — who spend the most — are still churning at a moderate rate.</t>
  </si>
  <si>
    <t>Age Group Analysis</t>
  </si>
  <si>
    <t>–  Middle Age (40–54) is the largest segment at 37.64% of users but records the lowest average watch time — suggesting lower engagement that likely contributes to their churn.</t>
  </si>
  <si>
    <t>–  Young Adults (18–29) watch the most hours on average (11.33 hrs) yet still show a 22.2% churn rate, indicating that watch time alone does not guarantee retention.</t>
  </si>
  <si>
    <t>–  Mid-career (35–44) customers account for the highest total monthly spend ($102,451) and carry a 31.5% churn rate — the highest-value at-risk group.</t>
  </si>
  <si>
    <t>–  Design engagement programs specifically for Middle Age (40–54) users to increase watch time — content recommendations, curated playlists, or usage reminders.</t>
  </si>
  <si>
    <t>–  Investigate why Young Adults churn despite high engagement. Pricing sensitivity or competing platforms may be the driver — consider loyalty discounts for this group.</t>
  </si>
  <si>
    <t>–  Protect the Mid-career (35–44) segment with targeted retention offers; losing these customers has the highest revenue impact.</t>
  </si>
  <si>
    <t>Spending &amp; Watch Time</t>
  </si>
  <si>
    <t>–  Average monthly spend across all customers is $2,088 — UK leads at $2,210, Philippines slightly below average at $2,019.</t>
  </si>
  <si>
    <t>–  Average watch time is 10.84 hours per customer. Early professionals (25–34) have the second highest watch time (11.29 hrs) yet the lowest churn rate (13%) — suggesting this group finds strong value.</t>
  </si>
  <si>
    <t>–  Customers with higher watch time tend to have lower churn rates, supporting watch time as a proxy for engagement and retention health.</t>
  </si>
  <si>
    <t>–  Use watch time as an early churn warning signal — customers falling below 8 hours/month should trigger proactive retention outreach.</t>
  </si>
  <si>
    <t>–  Study the Early Professionals (25–34) segment as a retention benchmark — identify what keeps them engaged and apply those learnings to higher-churn groups.</t>
  </si>
  <si>
    <t>New User Growth</t>
  </si>
  <si>
    <t>–  Monthly new user signups show variability throughout the year, with some months seeing significant growth spikes and others showing flat or negative growth.</t>
  </si>
  <si>
    <t>–  Signup dates are missing for a subset of customers, limiting the accuracy of new user trend analysis.</t>
  </si>
  <si>
    <t>–  Ensure signup date is captured for 100% of new users — this field is essential for cohort analysis and measuring the impact of acquisition campaigns.</t>
  </si>
  <si>
    <t>–  Cross-reference new user signup months with churn dates to identify whether recently acquired users are churning faster than long-tenured customers.</t>
  </si>
  <si>
    <t>The goal is to identify which customer segments are most at risk of churning and surface actionable retention strategies based on spending, watch time, age, and geography.</t>
  </si>
  <si>
    <t xml:space="preserve">–  This project analyzes customer churn behavior for a streaming/subscription service across 178 customers in 4 countries,   Philippines, USA, UK, and Unknown. </t>
  </si>
  <si>
    <t>User Churn Analysis Project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</si>
</sst>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sz val="8"/>
      <name val="Aptos Narrow"/>
      <family val="2"/>
      <scheme val="minor"/>
    </font>
    <font>
      <b/>
      <sz val="26"/>
      <color theme="1"/>
      <name val="Amasis MT Pro Black"/>
      <family val="1"/>
    </font>
    <font>
      <sz val="11"/>
      <color theme="1"/>
      <name val="Berlin Sans FB Demi"/>
      <family val="2"/>
    </font>
    <font>
      <b/>
      <sz val="16"/>
      <color rgb="FFFFFFFF"/>
      <name val="Calibri"/>
    </font>
    <font>
      <b/>
      <sz val="11"/>
      <color rgb="FF1A3A5C"/>
      <name val="Calibri"/>
    </font>
    <font>
      <sz val="10"/>
      <color rgb="FF2F2F2F"/>
      <name val="Calibri"/>
    </font>
    <font>
      <b/>
      <i/>
      <sz val="10"/>
      <color rgb="FF2E5090"/>
      <name val="Calibri"/>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1A3A5C"/>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9" fontId="1"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0" fontId="0" fillId="0" borderId="0" xfId="1" applyNumberFormat="1" applyFont="1"/>
    <xf numFmtId="0" fontId="0" fillId="2" borderId="0" xfId="0" applyFill="1"/>
    <xf numFmtId="0" fontId="4" fillId="0" borderId="0" xfId="0" applyFont="1" applyAlignment="1">
      <alignment horizontal="right"/>
    </xf>
    <xf numFmtId="0" fontId="0" fillId="0" borderId="4" xfId="0" applyBorder="1"/>
    <xf numFmtId="0" fontId="0" fillId="0" borderId="5" xfId="0" applyBorder="1"/>
    <xf numFmtId="0" fontId="6" fillId="0" borderId="4" xfId="0" applyFont="1" applyBorder="1"/>
    <xf numFmtId="0" fontId="8" fillId="0" borderId="4" xfId="0" applyFont="1" applyBorder="1"/>
    <xf numFmtId="0" fontId="0" fillId="0" borderId="6" xfId="0" applyBorder="1"/>
    <xf numFmtId="0" fontId="0" fillId="0" borderId="7" xfId="0" applyBorder="1"/>
    <xf numFmtId="0" fontId="0" fillId="0" borderId="8" xfId="0" applyBorder="1"/>
    <xf numFmtId="0" fontId="7" fillId="0" borderId="4" xfId="0" applyFont="1" applyBorder="1" applyAlignment="1">
      <alignment vertical="top" wrapText="1" indent="1"/>
    </xf>
    <xf numFmtId="0" fontId="0" fillId="0" borderId="0" xfId="0"/>
    <xf numFmtId="0" fontId="0" fillId="0" borderId="5" xfId="0" applyBorder="1"/>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0" xfId="0" applyFont="1" applyFill="1" applyAlignment="1">
      <alignment horizontal="center" vertical="center"/>
    </xf>
    <xf numFmtId="0" fontId="5" fillId="3" borderId="5" xfId="0" applyFont="1" applyFill="1" applyBorder="1" applyAlignment="1">
      <alignment horizontal="center" vertical="center"/>
    </xf>
    <xf numFmtId="0" fontId="3" fillId="2" borderId="0" xfId="0" applyFont="1" applyFill="1" applyAlignment="1">
      <alignment horizontal="center" vertical="center"/>
    </xf>
    <xf numFmtId="0" fontId="9" fillId="0" borderId="0" xfId="0" applyFont="1" applyAlignment="1">
      <alignment horizontal="left" vertical="top"/>
    </xf>
  </cellXfs>
  <cellStyles count="3">
    <cellStyle name="Normal" xfId="0" builtinId="0"/>
    <cellStyle name="Percent" xfId="1" builtinId="5"/>
    <cellStyle name="Percent 2" xfId="2" xr:uid="{2C3A2FFE-9734-4C9B-AC3E-65E7A1D9371D}"/>
  </cellStyles>
  <dxfs count="9">
    <dxf>
      <numFmt numFmtId="14" formatCode="0.00%"/>
    </dxf>
    <dxf>
      <numFmt numFmtId="2" formatCode="0.00"/>
    </dxf>
    <dxf>
      <numFmt numFmtId="4" formatCode="#,##0.00"/>
    </dxf>
    <dxf>
      <numFmt numFmtId="2" formatCode="0.00"/>
    </dxf>
    <dxf>
      <numFmt numFmtId="2" formatCode="0.00"/>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[hallo_churn.xlsx]PivotTables!age_spent_month</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Watchtime Hours v Churn Rate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a:softEdge rad="0"/>
          </a:effectLst>
        </c:spPr>
        <c:marker>
          <c:symbol val="circle"/>
          <c:size val="5"/>
          <c:spPr>
            <a:solidFill>
              <a:schemeClr val="accent6">
                <a:lumMod val="75000"/>
                <a:alpha val="31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pivotFmt>
      <c:pivotFmt>
        <c:idx val="7"/>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pivotFmt>
      <c:pivotFmt>
        <c:idx val="8"/>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pivotFmt>
      <c:pivotFmt>
        <c:idx val="9"/>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a:softEdge rad="0"/>
          </a:effectLst>
        </c:spPr>
        <c:marker>
          <c:symbol val="circle"/>
          <c:size val="5"/>
          <c:spPr>
            <a:solidFill>
              <a:schemeClr val="accent6">
                <a:lumMod val="75000"/>
                <a:alpha val="31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a:softEdge rad="0"/>
          </a:effectLst>
        </c:spPr>
        <c:marker>
          <c:symbol val="circle"/>
          <c:size val="5"/>
          <c:spPr>
            <a:solidFill>
              <a:schemeClr val="accent6">
                <a:lumMod val="75000"/>
                <a:alpha val="31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PivotTables!$F$19</c:f>
              <c:strCache>
                <c:ptCount val="1"/>
                <c:pt idx="0">
                  <c:v>Avg Watchtime</c:v>
                </c:pt>
              </c:strCache>
            </c:strRef>
          </c:tx>
          <c:spPr>
            <a:ln w="28575" cap="rnd">
              <a:solidFill>
                <a:schemeClr val="accent6"/>
              </a:solidFill>
              <a:round/>
            </a:ln>
            <a:effectLst>
              <a:softEdge rad="0"/>
            </a:effectLst>
          </c:spPr>
          <c:marker>
            <c:symbol val="circle"/>
            <c:size val="5"/>
            <c:spPr>
              <a:solidFill>
                <a:schemeClr val="accent6">
                  <a:lumMod val="75000"/>
                  <a:alpha val="31000"/>
                </a:schemeClr>
              </a:solidFill>
              <a:ln w="9525">
                <a:solidFill>
                  <a:schemeClr val="accent1"/>
                </a:solidFill>
              </a:ln>
              <a:effectLst>
                <a:softEdge rad="0"/>
              </a:effectLst>
            </c:spPr>
          </c:marker>
          <c:cat>
            <c:strRef>
              <c:f>PivotTables!$E$20:$E$25</c:f>
              <c:strCache>
                <c:ptCount val="5"/>
                <c:pt idx="0">
                  <c:v>Young Adults(18-24)</c:v>
                </c:pt>
                <c:pt idx="1">
                  <c:v>Early professionals(25-34)</c:v>
                </c:pt>
                <c:pt idx="2">
                  <c:v>Mid-career(35-44)</c:v>
                </c:pt>
                <c:pt idx="3">
                  <c:v>Experienced Professionals(45-54)</c:v>
                </c:pt>
                <c:pt idx="4">
                  <c:v>Late Career(55-64)</c:v>
                </c:pt>
              </c:strCache>
            </c:strRef>
          </c:cat>
          <c:val>
            <c:numRef>
              <c:f>PivotTables!$F$20:$F$25</c:f>
              <c:numCache>
                <c:formatCode>0.00</c:formatCode>
                <c:ptCount val="5"/>
                <c:pt idx="0">
                  <c:v>11.329199999999997</c:v>
                </c:pt>
                <c:pt idx="1">
                  <c:v>11.285454545454543</c:v>
                </c:pt>
                <c:pt idx="2">
                  <c:v>10.931666666666665</c:v>
                </c:pt>
                <c:pt idx="3">
                  <c:v>10.048611111111111</c:v>
                </c:pt>
                <c:pt idx="4">
                  <c:v>10.774444444444441</c:v>
                </c:pt>
              </c:numCache>
            </c:numRef>
          </c:val>
          <c:smooth val="1"/>
          <c:extLst>
            <c:ext xmlns:c16="http://schemas.microsoft.com/office/drawing/2014/chart" uri="{C3380CC4-5D6E-409C-BE32-E72D297353CC}">
              <c16:uniqueId val="{00000000-E77B-473E-BFD6-420B4F804525}"/>
            </c:ext>
          </c:extLst>
        </c:ser>
        <c:dLbls>
          <c:showLegendKey val="0"/>
          <c:showVal val="0"/>
          <c:showCatName val="0"/>
          <c:showSerName val="0"/>
          <c:showPercent val="0"/>
          <c:showBubbleSize val="0"/>
        </c:dLbls>
        <c:marker val="1"/>
        <c:smooth val="0"/>
        <c:axId val="655602575"/>
        <c:axId val="655604015"/>
      </c:lineChart>
      <c:lineChart>
        <c:grouping val="stacked"/>
        <c:varyColors val="0"/>
        <c:ser>
          <c:idx val="1"/>
          <c:order val="1"/>
          <c:tx>
            <c:strRef>
              <c:f>PivotTables!$G$19</c:f>
              <c:strCache>
                <c:ptCount val="1"/>
                <c:pt idx="0">
                  <c:v>Churn Rate %</c:v>
                </c:pt>
              </c:strCache>
            </c:strRef>
          </c:tx>
          <c:spPr>
            <a:ln w="28575" cap="rnd">
              <a:solidFill>
                <a:srgbClr val="FF0000"/>
              </a:solidFill>
              <a:prstDash val="sysDash"/>
              <a:round/>
            </a:ln>
            <a:effectLst/>
          </c:spPr>
          <c:marker>
            <c:symbol val="diamond"/>
            <c:size val="8"/>
            <c:spPr>
              <a:solidFill>
                <a:srgbClr val="FF0000"/>
              </a:solidFill>
              <a:ln w="9525" cap="flat">
                <a:solidFill>
                  <a:schemeClr val="accent2"/>
                </a:solidFill>
                <a:bevel/>
              </a:ln>
              <a:effectLst/>
            </c:spPr>
          </c:marker>
          <c:dPt>
            <c:idx val="2"/>
            <c:marker>
              <c:symbol val="diamond"/>
              <c:size val="8"/>
              <c:spPr>
                <a:solidFill>
                  <a:srgbClr val="FF0000"/>
                </a:solidFill>
                <a:ln w="9525" cap="flat">
                  <a:solidFill>
                    <a:schemeClr val="accent2"/>
                  </a:solidFill>
                  <a:beve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1-E77B-473E-BFD6-420B4F804525}"/>
              </c:ext>
            </c:extLst>
          </c:dPt>
          <c:dPt>
            <c:idx val="3"/>
            <c:marker>
              <c:symbol val="diamond"/>
              <c:size val="8"/>
              <c:spPr>
                <a:solidFill>
                  <a:srgbClr val="FF0000"/>
                </a:solidFill>
                <a:ln w="9525" cap="flat">
                  <a:solidFill>
                    <a:schemeClr val="accent2"/>
                  </a:solidFill>
                  <a:beve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2-E77B-473E-BFD6-420B4F804525}"/>
              </c:ext>
            </c:extLst>
          </c:dPt>
          <c:dLbls>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7B-473E-BFD6-420B4F804525}"/>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7B-473E-BFD6-420B4F804525}"/>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PivotTables!$E$20:$E$25</c:f>
              <c:strCache>
                <c:ptCount val="5"/>
                <c:pt idx="0">
                  <c:v>Young Adults(18-24)</c:v>
                </c:pt>
                <c:pt idx="1">
                  <c:v>Early professionals(25-34)</c:v>
                </c:pt>
                <c:pt idx="2">
                  <c:v>Mid-career(35-44)</c:v>
                </c:pt>
                <c:pt idx="3">
                  <c:v>Experienced Professionals(45-54)</c:v>
                </c:pt>
                <c:pt idx="4">
                  <c:v>Late Career(55-64)</c:v>
                </c:pt>
              </c:strCache>
            </c:strRef>
          </c:cat>
          <c:val>
            <c:numRef>
              <c:f>PivotTables!$G$20:$G$25</c:f>
              <c:numCache>
                <c:formatCode>0.00%</c:formatCode>
                <c:ptCount val="5"/>
                <c:pt idx="0">
                  <c:v>0.22222222222222221</c:v>
                </c:pt>
                <c:pt idx="1">
                  <c:v>0.12962962962962962</c:v>
                </c:pt>
                <c:pt idx="2">
                  <c:v>0.31481481481481483</c:v>
                </c:pt>
                <c:pt idx="3">
                  <c:v>0.18518518518518517</c:v>
                </c:pt>
                <c:pt idx="4">
                  <c:v>0.14814814814814814</c:v>
                </c:pt>
              </c:numCache>
            </c:numRef>
          </c:val>
          <c:smooth val="1"/>
          <c:extLst>
            <c:ext xmlns:c16="http://schemas.microsoft.com/office/drawing/2014/chart" uri="{C3380CC4-5D6E-409C-BE32-E72D297353CC}">
              <c16:uniqueId val="{00000003-E77B-473E-BFD6-420B4F804525}"/>
            </c:ext>
          </c:extLst>
        </c:ser>
        <c:dLbls>
          <c:showLegendKey val="0"/>
          <c:showVal val="0"/>
          <c:showCatName val="0"/>
          <c:showSerName val="0"/>
          <c:showPercent val="0"/>
          <c:showBubbleSize val="0"/>
        </c:dLbls>
        <c:marker val="1"/>
        <c:smooth val="0"/>
        <c:axId val="337887215"/>
        <c:axId val="337901135"/>
      </c:lineChart>
      <c:catAx>
        <c:axId val="65560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04015"/>
        <c:crosses val="autoZero"/>
        <c:auto val="1"/>
        <c:lblAlgn val="ctr"/>
        <c:lblOffset val="100"/>
        <c:noMultiLvlLbl val="0"/>
      </c:catAx>
      <c:valAx>
        <c:axId val="655604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02575"/>
        <c:crosses val="autoZero"/>
        <c:crossBetween val="between"/>
      </c:valAx>
      <c:valAx>
        <c:axId val="3379011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887215"/>
        <c:crosses val="max"/>
        <c:crossBetween val="between"/>
      </c:valAx>
      <c:catAx>
        <c:axId val="337887215"/>
        <c:scaling>
          <c:orientation val="minMax"/>
        </c:scaling>
        <c:delete val="1"/>
        <c:axPos val="b"/>
        <c:numFmt formatCode="General" sourceLinked="1"/>
        <c:majorTickMark val="out"/>
        <c:minorTickMark val="none"/>
        <c:tickLblPos val="nextTo"/>
        <c:crossAx val="337901135"/>
        <c:crosses val="autoZero"/>
        <c:auto val="1"/>
        <c:lblAlgn val="ctr"/>
        <c:lblOffset val="100"/>
        <c:noMultiLvlLbl val="0"/>
      </c:catAx>
      <c:spPr>
        <a:noFill/>
        <a:ln cmpd="sng">
          <a:noFill/>
        </a:ln>
        <a:effectLst/>
      </c:spPr>
    </c:plotArea>
    <c:legend>
      <c:legendPos val="t"/>
      <c:layout>
        <c:manualLayout>
          <c:xMode val="edge"/>
          <c:yMode val="edge"/>
          <c:x val="1.5456559777853858E-2"/>
          <c:y val="0.1449412827461608"/>
          <c:w val="0.37427732449733375"/>
          <c:h val="7.6220045665023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[hallo_churn.xlsx]PivotTables!avg_spend_churn_pct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a:t>
            </a:r>
            <a:r>
              <a:rPr lang="en-PH" baseline="0"/>
              <a:t> Spending v Churn Rate by Country</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FF0000"/>
            </a:solidFill>
            <a:prstDash val="sysDot"/>
            <a:round/>
          </a:ln>
          <a:effectLst/>
        </c:spPr>
        <c:marker>
          <c:spPr>
            <a:solidFill>
              <a:srgbClr val="FF0000"/>
            </a:solidFill>
            <a:ln w="9525">
              <a:solidFill>
                <a:schemeClr val="accent2"/>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FF0000"/>
            </a:solidFill>
            <a:prstDash val="sysDot"/>
            <a:round/>
          </a:ln>
          <a:effectLst/>
        </c:spPr>
        <c:marker>
          <c:spPr>
            <a:solidFill>
              <a:srgbClr val="FF0000"/>
            </a:solidFill>
            <a:ln w="9525">
              <a:solidFill>
                <a:schemeClr val="accent2"/>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prstDash val="sysDot"/>
            <a:round/>
          </a:ln>
          <a:effectLst/>
        </c:spPr>
        <c:marker>
          <c:symbol val="diamond"/>
          <c:size val="7"/>
          <c:spPr>
            <a:solidFill>
              <a:srgbClr val="FF0000"/>
            </a:solidFill>
            <a:ln w="9525">
              <a:solidFill>
                <a:schemeClr val="accent2"/>
              </a:solidFill>
              <a:prstDash val="sysDash"/>
            </a:ln>
            <a:effectLst/>
          </c:spPr>
        </c:marker>
        <c:dLbl>
          <c:idx val="0"/>
          <c:spPr>
            <a:solidFill>
              <a:schemeClr val="accent2">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PivotTables!$F$3</c:f>
              <c:strCache>
                <c:ptCount val="1"/>
                <c:pt idx="0">
                  <c:v>Average Spending</c:v>
                </c:pt>
              </c:strCache>
            </c:strRef>
          </c:tx>
          <c:spPr>
            <a:solidFill>
              <a:schemeClr val="tx2">
                <a:lumMod val="75000"/>
                <a:lumOff val="25000"/>
              </a:schemeClr>
            </a:solidFill>
            <a:ln>
              <a:noFill/>
            </a:ln>
            <a:effectLst/>
          </c:spPr>
          <c:invertIfNegative val="0"/>
          <c:cat>
            <c:strRef>
              <c:f>PivotTables!$E$4:$E$8</c:f>
              <c:strCache>
                <c:ptCount val="4"/>
                <c:pt idx="0">
                  <c:v>Philippines</c:v>
                </c:pt>
                <c:pt idx="1">
                  <c:v>UK</c:v>
                </c:pt>
                <c:pt idx="2">
                  <c:v>Unknown</c:v>
                </c:pt>
                <c:pt idx="3">
                  <c:v>USA</c:v>
                </c:pt>
              </c:strCache>
            </c:strRef>
          </c:cat>
          <c:val>
            <c:numRef>
              <c:f>PivotTables!$F$4:$F$8</c:f>
              <c:numCache>
                <c:formatCode>0.00</c:formatCode>
                <c:ptCount val="4"/>
                <c:pt idx="0">
                  <c:v>2018.6835624999999</c:v>
                </c:pt>
                <c:pt idx="1">
                  <c:v>2209.5430555555558</c:v>
                </c:pt>
                <c:pt idx="2">
                  <c:v>2146.8770370370376</c:v>
                </c:pt>
                <c:pt idx="3">
                  <c:v>2075.1341428571427</c:v>
                </c:pt>
              </c:numCache>
            </c:numRef>
          </c:val>
          <c:extLst>
            <c:ext xmlns:c16="http://schemas.microsoft.com/office/drawing/2014/chart" uri="{C3380CC4-5D6E-409C-BE32-E72D297353CC}">
              <c16:uniqueId val="{00000000-CCF3-4DA7-BA1B-0A03D7C0516F}"/>
            </c:ext>
          </c:extLst>
        </c:ser>
        <c:dLbls>
          <c:showLegendKey val="0"/>
          <c:showVal val="0"/>
          <c:showCatName val="0"/>
          <c:showSerName val="0"/>
          <c:showPercent val="0"/>
          <c:showBubbleSize val="0"/>
        </c:dLbls>
        <c:gapWidth val="150"/>
        <c:axId val="337916975"/>
        <c:axId val="337916495"/>
      </c:barChart>
      <c:lineChart>
        <c:grouping val="stacked"/>
        <c:varyColors val="0"/>
        <c:ser>
          <c:idx val="1"/>
          <c:order val="1"/>
          <c:tx>
            <c:strRef>
              <c:f>PivotTables!$G$3</c:f>
              <c:strCache>
                <c:ptCount val="1"/>
                <c:pt idx="0">
                  <c:v>Churn Rate %</c:v>
                </c:pt>
              </c:strCache>
            </c:strRef>
          </c:tx>
          <c:spPr>
            <a:ln w="28575" cap="rnd">
              <a:solidFill>
                <a:srgbClr val="FF0000"/>
              </a:solidFill>
              <a:prstDash val="sysDot"/>
              <a:round/>
            </a:ln>
            <a:effectLst/>
          </c:spPr>
          <c:marker>
            <c:symbol val="diamond"/>
            <c:size val="7"/>
            <c:spPr>
              <a:solidFill>
                <a:srgbClr val="FF0000"/>
              </a:solidFill>
              <a:ln w="9525">
                <a:solidFill>
                  <a:schemeClr val="accent2"/>
                </a:solidFill>
                <a:prstDash val="sysDash"/>
              </a:ln>
              <a:effectLst/>
            </c:spPr>
          </c:marker>
          <c:dLbls>
            <c:spPr>
              <a:solidFill>
                <a:schemeClr val="accent2">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rgbClr val="FF0000"/>
                      </a:solid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PivotTables!$E$4:$E$8</c:f>
              <c:strCache>
                <c:ptCount val="4"/>
                <c:pt idx="0">
                  <c:v>Philippines</c:v>
                </c:pt>
                <c:pt idx="1">
                  <c:v>UK</c:v>
                </c:pt>
                <c:pt idx="2">
                  <c:v>Unknown</c:v>
                </c:pt>
                <c:pt idx="3">
                  <c:v>USA</c:v>
                </c:pt>
              </c:strCache>
            </c:strRef>
          </c:cat>
          <c:val>
            <c:numRef>
              <c:f>PivotTables!$G$4:$G$8</c:f>
              <c:numCache>
                <c:formatCode>0.00%</c:formatCode>
                <c:ptCount val="4"/>
                <c:pt idx="0">
                  <c:v>0.3888888888888889</c:v>
                </c:pt>
                <c:pt idx="1">
                  <c:v>0.25925925925925924</c:v>
                </c:pt>
                <c:pt idx="2">
                  <c:v>0.16666666666666666</c:v>
                </c:pt>
                <c:pt idx="3">
                  <c:v>0.18518518518518517</c:v>
                </c:pt>
              </c:numCache>
            </c:numRef>
          </c:val>
          <c:smooth val="1"/>
          <c:extLst>
            <c:ext xmlns:c16="http://schemas.microsoft.com/office/drawing/2014/chart" uri="{C3380CC4-5D6E-409C-BE32-E72D297353CC}">
              <c16:uniqueId val="{00000001-CCF3-4DA7-BA1B-0A03D7C0516F}"/>
            </c:ext>
          </c:extLst>
        </c:ser>
        <c:dLbls>
          <c:showLegendKey val="0"/>
          <c:showVal val="0"/>
          <c:showCatName val="0"/>
          <c:showSerName val="0"/>
          <c:showPercent val="0"/>
          <c:showBubbleSize val="0"/>
        </c:dLbls>
        <c:marker val="1"/>
        <c:smooth val="0"/>
        <c:axId val="337861775"/>
        <c:axId val="337868015"/>
      </c:lineChart>
      <c:catAx>
        <c:axId val="3379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6495"/>
        <c:crosses val="autoZero"/>
        <c:auto val="1"/>
        <c:lblAlgn val="ctr"/>
        <c:lblOffset val="100"/>
        <c:noMultiLvlLbl val="0"/>
      </c:catAx>
      <c:valAx>
        <c:axId val="337916495"/>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6975"/>
        <c:crosses val="autoZero"/>
        <c:crossBetween val="between"/>
      </c:valAx>
      <c:valAx>
        <c:axId val="33786801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861775"/>
        <c:crosses val="max"/>
        <c:crossBetween val="between"/>
      </c:valAx>
      <c:catAx>
        <c:axId val="337861775"/>
        <c:scaling>
          <c:orientation val="minMax"/>
        </c:scaling>
        <c:delete val="1"/>
        <c:axPos val="b"/>
        <c:numFmt formatCode="General" sourceLinked="1"/>
        <c:majorTickMark val="out"/>
        <c:minorTickMark val="none"/>
        <c:tickLblPos val="nextTo"/>
        <c:crossAx val="337868015"/>
        <c:crosses val="autoZero"/>
        <c:auto val="1"/>
        <c:lblAlgn val="ctr"/>
        <c:lblOffset val="100"/>
        <c:noMultiLvlLbl val="0"/>
      </c:catAx>
      <c:spPr>
        <a:noFill/>
        <a:ln>
          <a:noFill/>
        </a:ln>
        <a:effectLst/>
      </c:spPr>
    </c:plotArea>
    <c:legend>
      <c:legendPos val="t"/>
      <c:layout>
        <c:manualLayout>
          <c:xMode val="edge"/>
          <c:yMode val="edge"/>
          <c:x val="1.4307086614173228E-2"/>
          <c:y val="0.14351851851851852"/>
          <c:w val="0.6092672853933603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[hallo_churn.xlsx]PivotTables!user_trend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When Churned Users Originally Signed 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solidFill>
              <a:schemeClr val="accent2">
                <a:lumMod val="20000"/>
                <a:lumOff val="80000"/>
                <a:alpha val="2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0000"/>
                    </a:solidFill>
                  </a:ln>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solidFill>
              <a:schemeClr val="accent2">
                <a:lumMod val="20000"/>
                <a:lumOff val="80000"/>
                <a:alpha val="2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0000"/>
                    </a:solidFill>
                  </a:ln>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90000"/>
                <a:lumOff val="10000"/>
              </a:schemeClr>
            </a:solidFill>
            <a:prstDash val="sysDot"/>
            <a:round/>
          </a:ln>
          <a:effectLst/>
        </c:spPr>
        <c:marker>
          <c:symbol val="circle"/>
          <c:size val="5"/>
          <c:spPr>
            <a:solidFill>
              <a:schemeClr val="accent1"/>
            </a:solidFill>
            <a:ln w="9525">
              <a:solidFill>
                <a:schemeClr val="accent1"/>
              </a:solidFill>
            </a:ln>
            <a:effectLst/>
          </c:spPr>
        </c:marker>
        <c:dLbl>
          <c:idx val="0"/>
          <c:spPr>
            <a:solidFill>
              <a:schemeClr val="accent2">
                <a:lumMod val="20000"/>
                <a:lumOff val="80000"/>
                <a:alpha val="2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209258899856E-2"/>
          <c:y val="0.17171296296296298"/>
          <c:w val="0.88659385872315644"/>
          <c:h val="0.72125801983085447"/>
        </c:manualLayout>
      </c:layout>
      <c:lineChart>
        <c:grouping val="standard"/>
        <c:varyColors val="0"/>
        <c:ser>
          <c:idx val="0"/>
          <c:order val="0"/>
          <c:tx>
            <c:strRef>
              <c:f>PivotTables!$B$3</c:f>
              <c:strCache>
                <c:ptCount val="1"/>
                <c:pt idx="0">
                  <c:v>Total</c:v>
                </c:pt>
              </c:strCache>
            </c:strRef>
          </c:tx>
          <c:spPr>
            <a:ln w="28575" cap="rnd">
              <a:solidFill>
                <a:schemeClr val="tx2">
                  <a:lumMod val="90000"/>
                  <a:lumOff val="10000"/>
                </a:schemeClr>
              </a:solidFill>
              <a:prstDash val="sysDot"/>
              <a:round/>
            </a:ln>
            <a:effectLst/>
          </c:spPr>
          <c:marker>
            <c:symbol val="circle"/>
            <c:size val="5"/>
            <c:spPr>
              <a:solidFill>
                <a:schemeClr val="accent1"/>
              </a:solidFill>
              <a:ln w="9525">
                <a:solidFill>
                  <a:schemeClr val="accent1"/>
                </a:solidFill>
              </a:ln>
              <a:effectLst/>
            </c:spPr>
          </c:marker>
          <c:dLbls>
            <c:spPr>
              <a:solidFill>
                <a:schemeClr val="accent2">
                  <a:lumMod val="20000"/>
                  <a:lumOff val="80000"/>
                  <a:alpha val="2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5875" cap="rnd">
                <a:solidFill>
                  <a:schemeClr val="accent6"/>
                </a:solidFill>
                <a:prstDash val="sysDot"/>
              </a:ln>
              <a:effectLst/>
            </c:spPr>
            <c:trendlineType val="linear"/>
            <c:dispRSqr val="0"/>
            <c:dispEq val="0"/>
          </c:trendline>
          <c:cat>
            <c:strRef>
              <c:f>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PivotTables!$B$4:$B$16</c:f>
              <c:numCache>
                <c:formatCode>0.00%</c:formatCode>
                <c:ptCount val="12"/>
                <c:pt idx="0">
                  <c:v>5.7692307692307696E-2</c:v>
                </c:pt>
                <c:pt idx="1">
                  <c:v>0.17307692307692307</c:v>
                </c:pt>
                <c:pt idx="2">
                  <c:v>7.6923076923076927E-2</c:v>
                </c:pt>
                <c:pt idx="3">
                  <c:v>7.6923076923076927E-2</c:v>
                </c:pt>
                <c:pt idx="4">
                  <c:v>0.15384615384615385</c:v>
                </c:pt>
                <c:pt idx="5">
                  <c:v>7.6923076923076927E-2</c:v>
                </c:pt>
                <c:pt idx="6">
                  <c:v>3.8461538461538464E-2</c:v>
                </c:pt>
                <c:pt idx="7">
                  <c:v>0.11538461538461539</c:v>
                </c:pt>
                <c:pt idx="8">
                  <c:v>3.8461538461538464E-2</c:v>
                </c:pt>
                <c:pt idx="9">
                  <c:v>0.11538461538461539</c:v>
                </c:pt>
                <c:pt idx="10">
                  <c:v>5.7692307692307696E-2</c:v>
                </c:pt>
                <c:pt idx="11">
                  <c:v>1.9230769230769232E-2</c:v>
                </c:pt>
              </c:numCache>
            </c:numRef>
          </c:val>
          <c:smooth val="1"/>
          <c:extLst>
            <c:ext xmlns:c16="http://schemas.microsoft.com/office/drawing/2014/chart" uri="{C3380CC4-5D6E-409C-BE32-E72D297353CC}">
              <c16:uniqueId val="{00000000-4A33-4AC8-B1E1-8B5870140F52}"/>
            </c:ext>
          </c:extLst>
        </c:ser>
        <c:dLbls>
          <c:dLblPos val="t"/>
          <c:showLegendKey val="0"/>
          <c:showVal val="1"/>
          <c:showCatName val="0"/>
          <c:showSerName val="0"/>
          <c:showPercent val="0"/>
          <c:showBubbleSize val="0"/>
        </c:dLbls>
        <c:marker val="1"/>
        <c:smooth val="0"/>
        <c:axId val="287829055"/>
        <c:axId val="287829535"/>
      </c:lineChart>
      <c:catAx>
        <c:axId val="287829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29535"/>
        <c:crosses val="autoZero"/>
        <c:auto val="1"/>
        <c:lblAlgn val="ctr"/>
        <c:lblOffset val="100"/>
        <c:noMultiLvlLbl val="0"/>
      </c:catAx>
      <c:valAx>
        <c:axId val="287829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2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[hallo_churn.xlsx]PivotTables!age_watch_c-pct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Spending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2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2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2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PivotTables!$F$11</c:f>
              <c:strCache>
                <c:ptCount val="1"/>
                <c:pt idx="0">
                  <c:v>Total</c:v>
                </c:pt>
              </c:strCache>
            </c:strRef>
          </c:tx>
          <c:spPr>
            <a:solidFill>
              <a:srgbClr val="FFFF00"/>
            </a:solidFill>
            <a:ln>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2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PivotTables!$E$12:$E$17</c:f>
              <c:strCache>
                <c:ptCount val="5"/>
                <c:pt idx="0">
                  <c:v>Young Adults(18-24)</c:v>
                </c:pt>
                <c:pt idx="1">
                  <c:v>Experienced Professionals(45-54)</c:v>
                </c:pt>
                <c:pt idx="2">
                  <c:v>Early professionals(25-34)</c:v>
                </c:pt>
                <c:pt idx="3">
                  <c:v>Late Career(55-64)</c:v>
                </c:pt>
                <c:pt idx="4">
                  <c:v>Mid-career(35-44)</c:v>
                </c:pt>
              </c:strCache>
            </c:strRef>
          </c:cat>
          <c:val>
            <c:numRef>
              <c:f>PivotTables!$F$12:$F$17</c:f>
              <c:numCache>
                <c:formatCode>0.00</c:formatCode>
                <c:ptCount val="5"/>
                <c:pt idx="0">
                  <c:v>47697.215000000004</c:v>
                </c:pt>
                <c:pt idx="1">
                  <c:v>68062.955000000002</c:v>
                </c:pt>
                <c:pt idx="2">
                  <c:v>75216.000000000029</c:v>
                </c:pt>
                <c:pt idx="3">
                  <c:v>78206.294999999984</c:v>
                </c:pt>
                <c:pt idx="4">
                  <c:v>102451.14499999997</c:v>
                </c:pt>
              </c:numCache>
            </c:numRef>
          </c:val>
          <c:extLst>
            <c:ext xmlns:c16="http://schemas.microsoft.com/office/drawing/2014/chart" uri="{C3380CC4-5D6E-409C-BE32-E72D297353CC}">
              <c16:uniqueId val="{00000000-AB58-4157-9F54-E463F9ACEF3B}"/>
            </c:ext>
          </c:extLst>
        </c:ser>
        <c:dLbls>
          <c:dLblPos val="outEnd"/>
          <c:showLegendKey val="0"/>
          <c:showVal val="1"/>
          <c:showCatName val="0"/>
          <c:showSerName val="0"/>
          <c:showPercent val="0"/>
          <c:showBubbleSize val="0"/>
        </c:dLbls>
        <c:gapWidth val="182"/>
        <c:axId val="337911695"/>
        <c:axId val="337912175"/>
      </c:barChart>
      <c:catAx>
        <c:axId val="33791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2175"/>
        <c:crosses val="autoZero"/>
        <c:auto val="1"/>
        <c:lblAlgn val="ctr"/>
        <c:lblOffset val="100"/>
        <c:noMultiLvlLbl val="0"/>
      </c:catAx>
      <c:valAx>
        <c:axId val="337912175"/>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3791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17929</xdr:rowOff>
    </xdr:from>
    <xdr:to>
      <xdr:col>19</xdr:col>
      <xdr:colOff>0</xdr:colOff>
      <xdr:row>36</xdr:row>
      <xdr:rowOff>8965</xdr:rowOff>
    </xdr:to>
    <xdr:sp macro="" textlink="">
      <xdr:nvSpPr>
        <xdr:cNvPr id="19" name="Rectangle: Rounded Corners 18">
          <a:extLst>
            <a:ext uri="{FF2B5EF4-FFF2-40B4-BE49-F238E27FC236}">
              <a16:creationId xmlns:a16="http://schemas.microsoft.com/office/drawing/2014/main" id="{C4F1BE5E-2D08-4348-C27C-CB9D7413BF26}"/>
            </a:ext>
          </a:extLst>
        </xdr:cNvPr>
        <xdr:cNvSpPr/>
      </xdr:nvSpPr>
      <xdr:spPr>
        <a:xfrm>
          <a:off x="0" y="1631576"/>
          <a:ext cx="11582400" cy="483197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172126</xdr:colOff>
      <xdr:row>4</xdr:row>
      <xdr:rowOff>71721</xdr:rowOff>
    </xdr:from>
    <xdr:to>
      <xdr:col>7</xdr:col>
      <xdr:colOff>499786</xdr:colOff>
      <xdr:row>8</xdr:row>
      <xdr:rowOff>3591</xdr:rowOff>
    </xdr:to>
    <xdr:grpSp>
      <xdr:nvGrpSpPr>
        <xdr:cNvPr id="5" name="Group 4">
          <a:extLst>
            <a:ext uri="{FF2B5EF4-FFF2-40B4-BE49-F238E27FC236}">
              <a16:creationId xmlns:a16="http://schemas.microsoft.com/office/drawing/2014/main" id="{0EC1840C-F140-4B36-B71F-E5962EC336B2}"/>
            </a:ext>
          </a:extLst>
        </xdr:cNvPr>
        <xdr:cNvGrpSpPr/>
      </xdr:nvGrpSpPr>
      <xdr:grpSpPr>
        <a:xfrm>
          <a:off x="172126" y="811950"/>
          <a:ext cx="4594860" cy="672098"/>
          <a:chOff x="8542013" y="2125979"/>
          <a:chExt cx="4701546" cy="853439"/>
        </a:xfrm>
      </xdr:grpSpPr>
      <xdr:grpSp>
        <xdr:nvGrpSpPr>
          <xdr:cNvPr id="6" name="Group 5">
            <a:extLst>
              <a:ext uri="{FF2B5EF4-FFF2-40B4-BE49-F238E27FC236}">
                <a16:creationId xmlns:a16="http://schemas.microsoft.com/office/drawing/2014/main" id="{199611B0-9212-4B8B-2830-372450FBC0DF}"/>
              </a:ext>
            </a:extLst>
          </xdr:cNvPr>
          <xdr:cNvGrpSpPr/>
        </xdr:nvGrpSpPr>
        <xdr:grpSpPr>
          <a:xfrm>
            <a:off x="8542013" y="2125980"/>
            <a:ext cx="1516379" cy="845820"/>
            <a:chOff x="8602980" y="2712720"/>
            <a:chExt cx="1264920" cy="845820"/>
          </a:xfrm>
        </xdr:grpSpPr>
        <xdr:sp macro="" textlink="PivotTables!E30">
          <xdr:nvSpPr>
            <xdr:cNvPr id="13" name="Rectangle: Rounded Corners 12">
              <a:extLst>
                <a:ext uri="{FF2B5EF4-FFF2-40B4-BE49-F238E27FC236}">
                  <a16:creationId xmlns:a16="http://schemas.microsoft.com/office/drawing/2014/main" id="{D0D2D03D-88E0-8A28-5DE7-BCFCE5D4941A}"/>
                </a:ext>
              </a:extLst>
            </xdr:cNvPr>
            <xdr:cNvSpPr/>
          </xdr:nvSpPr>
          <xdr:spPr>
            <a:xfrm>
              <a:off x="8602980" y="2712720"/>
              <a:ext cx="1264920" cy="84582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503DC740-7578-49AB-BC1A-C51771CABCC3}" type="TxLink">
                <a:rPr lang="en-US" sz="1600" b="0" i="0" u="none" strike="noStrike">
                  <a:solidFill>
                    <a:srgbClr val="000000"/>
                  </a:solidFill>
                  <a:latin typeface="Eras Bold ITC" panose="020B0907030504020204" pitchFamily="34" charset="0"/>
                </a:rPr>
                <a:pPr algn="r"/>
                <a:t>178</a:t>
              </a:fld>
              <a:endParaRPr lang="en-PH" sz="2400">
                <a:latin typeface="Eras Bold ITC" panose="020B0907030504020204" pitchFamily="34" charset="0"/>
              </a:endParaRPr>
            </a:p>
          </xdr:txBody>
        </xdr:sp>
        <xdr:sp macro="" textlink="$E$29">
          <xdr:nvSpPr>
            <xdr:cNvPr id="14" name="Rectangle 13">
              <a:extLst>
                <a:ext uri="{FF2B5EF4-FFF2-40B4-BE49-F238E27FC236}">
                  <a16:creationId xmlns:a16="http://schemas.microsoft.com/office/drawing/2014/main" id="{1A2B7724-6083-CF09-FB98-F81B9D5E17E2}"/>
                </a:ext>
              </a:extLst>
            </xdr:cNvPr>
            <xdr:cNvSpPr/>
          </xdr:nvSpPr>
          <xdr:spPr>
            <a:xfrm>
              <a:off x="8620670" y="2834640"/>
              <a:ext cx="10363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1675423-180E-4242-83CE-168CBF4F3FEE}" type="TxLink">
                <a:rPr lang="en-US" sz="1050" b="0" i="0" u="none" strike="noStrike">
                  <a:solidFill>
                    <a:sysClr val="windowText" lastClr="000000"/>
                  </a:solidFill>
                  <a:latin typeface="Aptos Black" panose="020B0004020202020204" pitchFamily="34" charset="0"/>
                </a:rPr>
                <a:pPr algn="l"/>
                <a:t> </a:t>
              </a:fld>
              <a:endParaRPr lang="en-PH" sz="1050" b="1">
                <a:solidFill>
                  <a:sysClr val="windowText" lastClr="000000"/>
                </a:solidFill>
                <a:latin typeface="Aptos Black" panose="020B0004020202020204" pitchFamily="34" charset="0"/>
              </a:endParaRPr>
            </a:p>
          </xdr:txBody>
        </xdr:sp>
      </xdr:grpSp>
      <xdr:grpSp>
        <xdr:nvGrpSpPr>
          <xdr:cNvPr id="7" name="Group 6">
            <a:extLst>
              <a:ext uri="{FF2B5EF4-FFF2-40B4-BE49-F238E27FC236}">
                <a16:creationId xmlns:a16="http://schemas.microsoft.com/office/drawing/2014/main" id="{AD9FC54B-DCBD-9E23-3797-00ED65FE3509}"/>
              </a:ext>
            </a:extLst>
          </xdr:cNvPr>
          <xdr:cNvGrpSpPr/>
        </xdr:nvGrpSpPr>
        <xdr:grpSpPr>
          <a:xfrm>
            <a:off x="10134600" y="2125979"/>
            <a:ext cx="1516380" cy="845820"/>
            <a:chOff x="8602980" y="2712719"/>
            <a:chExt cx="1264920" cy="845820"/>
          </a:xfrm>
        </xdr:grpSpPr>
        <xdr:sp macro="" textlink="PivotTables!G30">
          <xdr:nvSpPr>
            <xdr:cNvPr id="11" name="Rectangle: Rounded Corners 10">
              <a:extLst>
                <a:ext uri="{FF2B5EF4-FFF2-40B4-BE49-F238E27FC236}">
                  <a16:creationId xmlns:a16="http://schemas.microsoft.com/office/drawing/2014/main" id="{098460C9-D4B2-10C4-AA2D-FDB225A11275}"/>
                </a:ext>
              </a:extLst>
            </xdr:cNvPr>
            <xdr:cNvSpPr/>
          </xdr:nvSpPr>
          <xdr:spPr>
            <a:xfrm>
              <a:off x="8602980" y="2712719"/>
              <a:ext cx="1264920" cy="84582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DB3E6FD4-180B-4C80-ACC1-69FD9BA744A5}" type="TxLink">
                <a:rPr lang="en-US" sz="1600" b="0" i="0" u="none" strike="noStrike">
                  <a:solidFill>
                    <a:srgbClr val="000000"/>
                  </a:solidFill>
                  <a:latin typeface="Eras Bold ITC" panose="020B0907030504020204" pitchFamily="34" charset="0"/>
                </a:rPr>
                <a:pPr algn="r"/>
                <a:t>30.34%</a:t>
              </a:fld>
              <a:endParaRPr lang="en-PH" sz="2400">
                <a:latin typeface="Eras Bold ITC" panose="020B0907030504020204" pitchFamily="34" charset="0"/>
              </a:endParaRPr>
            </a:p>
          </xdr:txBody>
        </xdr:sp>
        <xdr:sp macro="" textlink="$G$29">
          <xdr:nvSpPr>
            <xdr:cNvPr id="12" name="Rectangle 11">
              <a:extLst>
                <a:ext uri="{FF2B5EF4-FFF2-40B4-BE49-F238E27FC236}">
                  <a16:creationId xmlns:a16="http://schemas.microsoft.com/office/drawing/2014/main" id="{38239107-7CF6-E777-8E26-10C601E43B85}"/>
                </a:ext>
              </a:extLst>
            </xdr:cNvPr>
            <xdr:cNvSpPr/>
          </xdr:nvSpPr>
          <xdr:spPr>
            <a:xfrm>
              <a:off x="8620670" y="2834640"/>
              <a:ext cx="10363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E9CAA0-42FA-429D-84F7-3E4827744F41}" type="TxLink">
                <a:rPr lang="en-US" sz="1050" b="0" i="0" u="none" strike="noStrike">
                  <a:solidFill>
                    <a:srgbClr val="000000"/>
                  </a:solidFill>
                  <a:latin typeface="Aptos Black" panose="020B0004020202020204" pitchFamily="34" charset="0"/>
                </a:rPr>
                <a:pPr algn="l"/>
                <a:t> </a:t>
              </a:fld>
              <a:endParaRPr lang="en-PH" sz="1050" b="1">
                <a:solidFill>
                  <a:sysClr val="windowText" lastClr="000000"/>
                </a:solidFill>
                <a:latin typeface="Aptos Black" panose="020B0004020202020204" pitchFamily="34" charset="0"/>
              </a:endParaRPr>
            </a:p>
          </xdr:txBody>
        </xdr:sp>
      </xdr:grpSp>
      <xdr:grpSp>
        <xdr:nvGrpSpPr>
          <xdr:cNvPr id="8" name="Group 7">
            <a:extLst>
              <a:ext uri="{FF2B5EF4-FFF2-40B4-BE49-F238E27FC236}">
                <a16:creationId xmlns:a16="http://schemas.microsoft.com/office/drawing/2014/main" id="{5B7DE455-F94F-E22E-FBF9-8775E9D01B36}"/>
              </a:ext>
            </a:extLst>
          </xdr:cNvPr>
          <xdr:cNvGrpSpPr/>
        </xdr:nvGrpSpPr>
        <xdr:grpSpPr>
          <a:xfrm>
            <a:off x="11727179" y="2133599"/>
            <a:ext cx="1516380" cy="845819"/>
            <a:chOff x="8602979" y="2712719"/>
            <a:chExt cx="1264920" cy="845819"/>
          </a:xfrm>
        </xdr:grpSpPr>
        <xdr:sp macro="" textlink="PivotTables!F30">
          <xdr:nvSpPr>
            <xdr:cNvPr id="9" name="Rectangle: Rounded Corners 8">
              <a:extLst>
                <a:ext uri="{FF2B5EF4-FFF2-40B4-BE49-F238E27FC236}">
                  <a16:creationId xmlns:a16="http://schemas.microsoft.com/office/drawing/2014/main" id="{4AD90A78-74CC-EA8C-E858-A368C7A01CDD}"/>
                </a:ext>
              </a:extLst>
            </xdr:cNvPr>
            <xdr:cNvSpPr/>
          </xdr:nvSpPr>
          <xdr:spPr>
            <a:xfrm>
              <a:off x="8602979" y="2712719"/>
              <a:ext cx="1264920" cy="845819"/>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4816D79A-C210-421A-9E2D-822C5E3EDB06}" type="TxLink">
                <a:rPr lang="en-US" sz="1600" b="0" i="0" u="none" strike="noStrike">
                  <a:solidFill>
                    <a:srgbClr val="000000"/>
                  </a:solidFill>
                  <a:latin typeface="Eras Bold ITC" panose="020B0907030504020204" pitchFamily="34" charset="0"/>
                  <a:cs typeface="Aharoni" panose="02010803020104030203" pitchFamily="2" charset="-79"/>
                </a:rPr>
                <a:pPr algn="r"/>
                <a:t>10.84</a:t>
              </a:fld>
              <a:endParaRPr lang="en-PH" sz="2400">
                <a:latin typeface="Eras Bold ITC" panose="020B0907030504020204" pitchFamily="34" charset="0"/>
                <a:cs typeface="Aharoni" panose="02010803020104030203" pitchFamily="2" charset="-79"/>
              </a:endParaRPr>
            </a:p>
          </xdr:txBody>
        </xdr:sp>
        <xdr:sp macro="" textlink="$F$29">
          <xdr:nvSpPr>
            <xdr:cNvPr id="10" name="Rectangle 9">
              <a:extLst>
                <a:ext uri="{FF2B5EF4-FFF2-40B4-BE49-F238E27FC236}">
                  <a16:creationId xmlns:a16="http://schemas.microsoft.com/office/drawing/2014/main" id="{D03FCB90-A99A-706E-AD12-041E5A7ACA96}"/>
                </a:ext>
              </a:extLst>
            </xdr:cNvPr>
            <xdr:cNvSpPr/>
          </xdr:nvSpPr>
          <xdr:spPr>
            <a:xfrm>
              <a:off x="8620670" y="2834640"/>
              <a:ext cx="10363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8221FF-49B9-4382-AD97-682E31023E6D}" type="TxLink">
                <a:rPr lang="en-US" sz="1050" b="0" i="0" u="none" strike="noStrike">
                  <a:solidFill>
                    <a:srgbClr val="000000"/>
                  </a:solidFill>
                  <a:latin typeface="Aptos Black" panose="020B0004020202020204" pitchFamily="34" charset="0"/>
                </a:rPr>
                <a:pPr algn="l"/>
                <a:t> </a:t>
              </a:fld>
              <a:endParaRPr lang="en-PH" sz="1050" b="1">
                <a:solidFill>
                  <a:sysClr val="windowText" lastClr="000000"/>
                </a:solidFill>
                <a:latin typeface="Aptos Black" panose="020B0004020202020204" pitchFamily="34" charset="0"/>
              </a:endParaRPr>
            </a:p>
          </xdr:txBody>
        </xdr:sp>
      </xdr:grpSp>
    </xdr:grpSp>
    <xdr:clientData/>
  </xdr:twoCellAnchor>
  <xdr:twoCellAnchor>
    <xdr:from>
      <xdr:col>0</xdr:col>
      <xdr:colOff>394448</xdr:colOff>
      <xdr:row>9</xdr:row>
      <xdr:rowOff>125506</xdr:rowOff>
    </xdr:from>
    <xdr:to>
      <xdr:col>18</xdr:col>
      <xdr:colOff>152400</xdr:colOff>
      <xdr:row>35</xdr:row>
      <xdr:rowOff>8964</xdr:rowOff>
    </xdr:to>
    <xdr:grpSp>
      <xdr:nvGrpSpPr>
        <xdr:cNvPr id="18" name="Group 17">
          <a:extLst>
            <a:ext uri="{FF2B5EF4-FFF2-40B4-BE49-F238E27FC236}">
              <a16:creationId xmlns:a16="http://schemas.microsoft.com/office/drawing/2014/main" id="{4B2FFA84-A65C-908E-B833-949B50866F2E}"/>
            </a:ext>
          </a:extLst>
        </xdr:cNvPr>
        <xdr:cNvGrpSpPr/>
      </xdr:nvGrpSpPr>
      <xdr:grpSpPr>
        <a:xfrm>
          <a:off x="394448" y="1791020"/>
          <a:ext cx="10730752" cy="4694944"/>
          <a:chOff x="860612" y="1464833"/>
          <a:chExt cx="10119808" cy="4882180"/>
        </a:xfrm>
      </xdr:grpSpPr>
      <xdr:graphicFrame macro="">
        <xdr:nvGraphicFramePr>
          <xdr:cNvPr id="4" name="Chart 3">
            <a:extLst>
              <a:ext uri="{FF2B5EF4-FFF2-40B4-BE49-F238E27FC236}">
                <a16:creationId xmlns:a16="http://schemas.microsoft.com/office/drawing/2014/main" id="{1AD1A8D9-7E9F-4BB7-8DE3-984529AC5EC0}"/>
              </a:ext>
            </a:extLst>
          </xdr:cNvPr>
          <xdr:cNvGraphicFramePr>
            <a:graphicFrameLocks/>
          </xdr:cNvGraphicFramePr>
        </xdr:nvGraphicFramePr>
        <xdr:xfrm>
          <a:off x="883920" y="1464833"/>
          <a:ext cx="5806440" cy="250249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3F14CE12-0DE9-47C7-ABCA-E8904956E2E9}"/>
              </a:ext>
            </a:extLst>
          </xdr:cNvPr>
          <xdr:cNvGraphicFramePr>
            <a:graphicFrameLocks/>
          </xdr:cNvGraphicFramePr>
        </xdr:nvGraphicFramePr>
        <xdr:xfrm>
          <a:off x="6697980" y="1464833"/>
          <a:ext cx="4282440" cy="25024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5B04F2C5-EB28-4514-AC77-CCA1AB040973}"/>
              </a:ext>
            </a:extLst>
          </xdr:cNvPr>
          <xdr:cNvGraphicFramePr>
            <a:graphicFrameLocks/>
          </xdr:cNvGraphicFramePr>
        </xdr:nvGraphicFramePr>
        <xdr:xfrm>
          <a:off x="860612" y="3971365"/>
          <a:ext cx="5342964" cy="23666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D64B8AAE-914A-41C2-98EC-C663D74E0195}"/>
              </a:ext>
            </a:extLst>
          </xdr:cNvPr>
          <xdr:cNvGraphicFramePr>
            <a:graphicFrameLocks/>
          </xdr:cNvGraphicFramePr>
        </xdr:nvGraphicFramePr>
        <xdr:xfrm>
          <a:off x="6203946" y="3971364"/>
          <a:ext cx="4769227" cy="237564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10</xdr:col>
      <xdr:colOff>179295</xdr:colOff>
      <xdr:row>3</xdr:row>
      <xdr:rowOff>131335</xdr:rowOff>
    </xdr:from>
    <xdr:to>
      <xdr:col>18</xdr:col>
      <xdr:colOff>573743</xdr:colOff>
      <xdr:row>8</xdr:row>
      <xdr:rowOff>143436</xdr:rowOff>
    </xdr:to>
    <mc:AlternateContent xmlns:mc="http://schemas.openxmlformats.org/markup-compatibility/2006" xmlns:a14="http://schemas.microsoft.com/office/drawing/2010/main">
      <mc:Choice Requires="a14">
        <xdr:graphicFrame macro="">
          <xdr:nvGraphicFramePr>
            <xdr:cNvPr id="24" name="Month Name">
              <a:extLst>
                <a:ext uri="{FF2B5EF4-FFF2-40B4-BE49-F238E27FC236}">
                  <a16:creationId xmlns:a16="http://schemas.microsoft.com/office/drawing/2014/main" id="{0AD64F49-8197-8624-8AF0-E6DCD4261AB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275295" y="686506"/>
              <a:ext cx="5271248" cy="93738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185057</xdr:colOff>
      <xdr:row>4</xdr:row>
      <xdr:rowOff>108857</xdr:rowOff>
    </xdr:from>
    <xdr:to>
      <xdr:col>2</xdr:col>
      <xdr:colOff>217714</xdr:colOff>
      <xdr:row>6</xdr:row>
      <xdr:rowOff>54428</xdr:rowOff>
    </xdr:to>
    <xdr:sp macro="" textlink="PivotTables!E29">
      <xdr:nvSpPr>
        <xdr:cNvPr id="2" name="Rectangle: Rounded Corners 1">
          <a:extLst>
            <a:ext uri="{FF2B5EF4-FFF2-40B4-BE49-F238E27FC236}">
              <a16:creationId xmlns:a16="http://schemas.microsoft.com/office/drawing/2014/main" id="{DE732E80-0B52-90BF-CE25-DBE20D38E446}"/>
            </a:ext>
          </a:extLst>
        </xdr:cNvPr>
        <xdr:cNvSpPr/>
      </xdr:nvSpPr>
      <xdr:spPr>
        <a:xfrm>
          <a:off x="185057" y="849086"/>
          <a:ext cx="1251857" cy="3156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940997-8C76-421D-8B46-E050C92078E9}" type="TxLink">
            <a:rPr lang="en-US" sz="1100" b="0" i="0" u="none" strike="noStrike">
              <a:solidFill>
                <a:srgbClr val="000000"/>
              </a:solidFill>
              <a:latin typeface="Congenial Black" panose="020F0502020204030204" pitchFamily="2" charset="0"/>
            </a:rPr>
            <a:t>Total Customer</a:t>
          </a:fld>
          <a:endParaRPr lang="en-PH" sz="1100">
            <a:latin typeface="Congenial Black" panose="020F0502020204030204" pitchFamily="2" charset="0"/>
          </a:endParaRPr>
        </a:p>
      </xdr:txBody>
    </xdr:sp>
    <xdr:clientData/>
  </xdr:twoCellAnchor>
  <xdr:twoCellAnchor>
    <xdr:from>
      <xdr:col>2</xdr:col>
      <xdr:colOff>522513</xdr:colOff>
      <xdr:row>4</xdr:row>
      <xdr:rowOff>108857</xdr:rowOff>
    </xdr:from>
    <xdr:to>
      <xdr:col>4</xdr:col>
      <xdr:colOff>555170</xdr:colOff>
      <xdr:row>6</xdr:row>
      <xdr:rowOff>54428</xdr:rowOff>
    </xdr:to>
    <xdr:sp macro="" textlink="PivotTables!G29">
      <xdr:nvSpPr>
        <xdr:cNvPr id="3" name="Rectangle: Rounded Corners 2">
          <a:extLst>
            <a:ext uri="{FF2B5EF4-FFF2-40B4-BE49-F238E27FC236}">
              <a16:creationId xmlns:a16="http://schemas.microsoft.com/office/drawing/2014/main" id="{B396FF9D-46B4-4907-A400-64008C3C1CB5}"/>
            </a:ext>
          </a:extLst>
        </xdr:cNvPr>
        <xdr:cNvSpPr/>
      </xdr:nvSpPr>
      <xdr:spPr>
        <a:xfrm>
          <a:off x="1741713" y="849086"/>
          <a:ext cx="1251857" cy="3156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7B42FF-61D7-4DF9-B877-1BA2AFAE1C86}" type="TxLink">
            <a:rPr lang="en-US" sz="1100" b="0" i="0" u="none" strike="noStrike">
              <a:solidFill>
                <a:srgbClr val="000000"/>
              </a:solidFill>
              <a:latin typeface="Congenial Black" panose="020F0502020204030204" pitchFamily="2" charset="0"/>
            </a:rPr>
            <a:t>Total Churn</a:t>
          </a:fld>
          <a:endParaRPr lang="en-PH" sz="1100">
            <a:latin typeface="Congenial Black" panose="020F0502020204030204" pitchFamily="2" charset="0"/>
          </a:endParaRPr>
        </a:p>
      </xdr:txBody>
    </xdr:sp>
    <xdr:clientData/>
  </xdr:twoCellAnchor>
  <xdr:twoCellAnchor>
    <xdr:from>
      <xdr:col>5</xdr:col>
      <xdr:colOff>250370</xdr:colOff>
      <xdr:row>4</xdr:row>
      <xdr:rowOff>108857</xdr:rowOff>
    </xdr:from>
    <xdr:to>
      <xdr:col>7</xdr:col>
      <xdr:colOff>283027</xdr:colOff>
      <xdr:row>6</xdr:row>
      <xdr:rowOff>54428</xdr:rowOff>
    </xdr:to>
    <xdr:sp macro="" textlink="PivotTables!F29">
      <xdr:nvSpPr>
        <xdr:cNvPr id="20" name="Rectangle: Rounded Corners 19">
          <a:extLst>
            <a:ext uri="{FF2B5EF4-FFF2-40B4-BE49-F238E27FC236}">
              <a16:creationId xmlns:a16="http://schemas.microsoft.com/office/drawing/2014/main" id="{9BF01000-C30A-45D2-8C77-B818E93B0DEC}"/>
            </a:ext>
          </a:extLst>
        </xdr:cNvPr>
        <xdr:cNvSpPr/>
      </xdr:nvSpPr>
      <xdr:spPr>
        <a:xfrm>
          <a:off x="3298370" y="849086"/>
          <a:ext cx="1251857" cy="3156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3BD159-D74A-4F31-AFAB-4CB9094F5B79}" type="TxLink">
            <a:rPr lang="en-US" sz="1100" b="0" i="0" u="none" strike="noStrike">
              <a:solidFill>
                <a:srgbClr val="000000"/>
              </a:solidFill>
              <a:latin typeface="Congenial Black" panose="020F0502020204030204" pitchFamily="2" charset="0"/>
            </a:rPr>
            <a:t>Avg Watchtime</a:t>
          </a:fld>
          <a:endParaRPr lang="en-PH" sz="1100">
            <a:latin typeface="Congenial Black" panose="020F0502020204030204"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Herrera" refreshedDate="46125.685980208335" createdVersion="8" refreshedVersion="8" minRefreshableVersion="3" recordCount="178" xr:uid="{A0FB8C5B-40E2-414B-A704-83B8476F5117}">
  <cacheSource type="worksheet">
    <worksheetSource name="raw_data_clean_2"/>
  </cacheSource>
  <cacheFields count="16">
    <cacheField name="CustomerID" numFmtId="0">
      <sharedItems count="178">
        <s v="C1000"/>
        <s v="C1001"/>
        <s v="C1002"/>
        <s v="C1003"/>
        <s v="C1004"/>
        <s v="C1005"/>
        <s v="C1007"/>
        <s v="C1008"/>
        <s v="C1009"/>
        <s v="C1011"/>
        <s v="C1012"/>
        <s v="C1013"/>
        <s v="C1014"/>
        <s v="C1015"/>
        <s v="C1016"/>
        <s v="C1017"/>
        <s v="C1018"/>
        <s v="C1019"/>
        <s v="C1020"/>
        <s v="C1021"/>
        <s v="C1022"/>
        <s v="C1023"/>
        <s v="C1024"/>
        <s v="C1025"/>
        <s v="C1026"/>
        <s v="C1027"/>
        <s v="C1028"/>
        <s v="C1030"/>
        <s v="C1031"/>
        <s v="C1033"/>
        <s v="C1034"/>
        <s v="C1035"/>
        <s v="C1036"/>
        <s v="C1038"/>
        <s v="C1039"/>
        <s v="C1040"/>
        <s v="C1041"/>
        <s v="C1043"/>
        <s v="C1044"/>
        <s v="C1045"/>
        <s v="C1046"/>
        <s v="C1047"/>
        <s v="C1048"/>
        <s v="C1049"/>
        <s v="C1050"/>
        <s v="C1051"/>
        <s v="C1052"/>
        <s v="C1053"/>
        <s v="C1054"/>
        <s v="C1055"/>
        <s v="C1057"/>
        <s v="C1059"/>
        <s v="C1060"/>
        <s v="C1061"/>
        <s v="C1062"/>
        <s v="C1063"/>
        <s v="C1064"/>
        <s v="C1065"/>
        <s v="C1066"/>
        <s v="C1067"/>
        <s v="C1069"/>
        <s v="C1070"/>
        <s v="C1071"/>
        <s v="C1073"/>
        <s v="C1074"/>
        <s v="C1075"/>
        <s v="C1076"/>
        <s v="C1078"/>
        <s v="C1079"/>
        <s v="C1080"/>
        <s v="C1081"/>
        <s v="C1082"/>
        <s v="C1084"/>
        <s v="C1085"/>
        <s v="C1086"/>
        <s v="C1087"/>
        <s v="C1088"/>
        <s v="C1089"/>
        <s v="C1090"/>
        <s v="C1091"/>
        <s v="C1092"/>
        <s v="C1093"/>
        <s v="C1094"/>
        <s v="C1095"/>
        <s v="C1096"/>
        <s v="C1097"/>
        <s v="C1099"/>
        <s v="C1101"/>
        <s v="C1102"/>
        <s v="C1103"/>
        <s v="C1104"/>
        <s v="C1105"/>
        <s v="C1106"/>
        <s v="C1107"/>
        <s v="C1108"/>
        <s v="C1110"/>
        <s v="C1111"/>
        <s v="C1112"/>
        <s v="C1113"/>
        <s v="C1114"/>
        <s v="C1115"/>
        <s v="C1116"/>
        <s v="C1117"/>
        <s v="C1118"/>
        <s v="C1119"/>
        <s v="C1120"/>
        <s v="C1121"/>
        <s v="C1122"/>
        <s v="C1123"/>
        <s v="C1124"/>
        <s v="C1125"/>
        <s v="C1126"/>
        <s v="C1127"/>
        <s v="C1129"/>
        <s v="C1130"/>
        <s v="C1131"/>
        <s v="C1132"/>
        <s v="C1133"/>
        <s v="C1134"/>
        <s v="C1135"/>
        <s v="C1136"/>
        <s v="C1137"/>
        <s v="C1138"/>
        <s v="C1139"/>
        <s v="C1140"/>
        <s v="C1141"/>
        <s v="C1142"/>
        <s v="C1143"/>
        <s v="C1144"/>
        <s v="C1146"/>
        <s v="C1147"/>
        <s v="C1149"/>
        <s v="C1150"/>
        <s v="C1151"/>
        <s v="C1152"/>
        <s v="C1153"/>
        <s v="C1154"/>
        <s v="C1155"/>
        <s v="C1156"/>
        <s v="C1157"/>
        <s v="C1158"/>
        <s v="C1159"/>
        <s v="C1160"/>
        <s v="C1161"/>
        <s v="C1162"/>
        <s v="C1163"/>
        <s v="C1165"/>
        <s v="C1166"/>
        <s v="C1167"/>
        <s v="C1169"/>
        <s v="C1170"/>
        <s v="C1172"/>
        <s v="C1173"/>
        <s v="C1174"/>
        <s v="C1175"/>
        <s v="C1176"/>
        <s v="C1177"/>
        <s v="C1178"/>
        <s v="C1179"/>
        <s v="C1180"/>
        <s v="C1181"/>
        <s v="C1182"/>
        <s v="C1183"/>
        <s v="C1184"/>
        <s v="C1185"/>
        <s v="C1186"/>
        <s v="C1187"/>
        <s v="C1188"/>
        <s v="C1189"/>
        <s v="C1191"/>
        <s v="C1192"/>
        <s v="C1193"/>
        <s v="C1194"/>
        <s v="C1195"/>
        <s v="C1196"/>
        <s v="C1197"/>
        <s v="C1198"/>
        <s v="C1199"/>
      </sharedItems>
    </cacheField>
    <cacheField name="SignupDate" numFmtId="14">
      <sharedItems containsNonDate="0" containsDate="1" containsString="0" containsBlank="1" minDate="2023-01-01T00:00:00" maxDate="2024-01-01T00:00:00" count="144">
        <m/>
        <d v="2023-03-16T00:00:00"/>
        <d v="2023-04-23T00:00:00"/>
        <d v="2023-04-14T00:00:00"/>
        <d v="2023-12-06T00:00:00"/>
        <d v="2023-09-11T00:00:00"/>
        <d v="2023-04-09T00:00:00"/>
        <d v="2023-06-02T00:00:00"/>
        <d v="2023-12-04T00:00:00"/>
        <d v="2023-07-13T00:00:00"/>
        <d v="2023-11-06T00:00:00"/>
        <d v="2023-06-12T00:00:00"/>
        <d v="2023-07-27T00:00:00"/>
        <d v="2023-06-18T00:00:00"/>
        <d v="2023-06-10T00:00:00"/>
        <d v="2023-03-09T00:00:00"/>
        <d v="2023-10-04T00:00:00"/>
        <d v="2023-10-31T00:00:00"/>
        <d v="2023-05-15T00:00:00"/>
        <d v="2023-07-14T00:00:00"/>
        <d v="2023-05-08T00:00:00"/>
        <d v="2023-02-02T00:00:00"/>
        <d v="2023-06-25T00:00:00"/>
        <d v="2023-01-22T00:00:00"/>
        <d v="2023-08-26T00:00:00"/>
        <d v="2023-02-07T00:00:00"/>
        <d v="2023-08-18T00:00:00"/>
        <d v="2023-02-20T00:00:00"/>
        <d v="2023-09-21T00:00:00"/>
        <d v="2023-10-10T00:00:00"/>
        <d v="2023-01-27T00:00:00"/>
        <d v="2023-10-13T00:00:00"/>
        <d v="2023-04-07T00:00:00"/>
        <d v="2023-10-11T00:00:00"/>
        <d v="2023-05-27T00:00:00"/>
        <d v="2023-01-04T00:00:00"/>
        <d v="2023-02-04T00:00:00"/>
        <d v="2023-07-11T00:00:00"/>
        <d v="2023-02-18T00:00:00"/>
        <d v="2023-01-17T00:00:00"/>
        <d v="2023-06-21T00:00:00"/>
        <d v="2023-08-08T00:00:00"/>
        <d v="2023-06-07T00:00:00"/>
        <d v="2023-02-15T00:00:00"/>
        <d v="2023-01-06T00:00:00"/>
        <d v="2023-02-06T00:00:00"/>
        <d v="2023-12-15T00:00:00"/>
        <d v="2023-10-29T00:00:00"/>
        <d v="2023-06-30T00:00:00"/>
        <d v="2023-04-05T00:00:00"/>
        <d v="2023-07-07T00:00:00"/>
        <d v="2023-04-26T00:00:00"/>
        <d v="2023-07-10T00:00:00"/>
        <d v="2023-09-10T00:00:00"/>
        <d v="2023-09-13T00:00:00"/>
        <d v="2023-11-19T00:00:00"/>
        <d v="2023-10-08T00:00:00"/>
        <d v="2023-08-11T00:00:00"/>
        <d v="2023-02-23T00:00:00"/>
        <d v="2023-02-27T00:00:00"/>
        <d v="2023-12-26T00:00:00"/>
        <d v="2023-06-23T00:00:00"/>
        <d v="2023-10-07T00:00:00"/>
        <d v="2023-04-24T00:00:00"/>
        <d v="2023-10-15T00:00:00"/>
        <d v="2023-05-31T00:00:00"/>
        <d v="2023-05-07T00:00:00"/>
        <d v="2023-06-04T00:00:00"/>
        <d v="2023-09-30T00:00:00"/>
        <d v="2023-10-26T00:00:00"/>
        <d v="2023-09-03T00:00:00"/>
        <d v="2023-02-08T00:00:00"/>
        <d v="2023-06-19T00:00:00"/>
        <d v="2023-09-04T00:00:00"/>
        <d v="2023-01-26T00:00:00"/>
        <d v="2023-12-21T00:00:00"/>
        <d v="2023-11-02T00:00:00"/>
        <d v="2023-11-12T00:00:00"/>
        <d v="2023-02-05T00:00:00"/>
        <d v="2023-06-22T00:00:00"/>
        <d v="2023-01-20T00:00:00"/>
        <d v="2023-11-17T00:00:00"/>
        <d v="2023-05-22T00:00:00"/>
        <d v="2023-05-23T00:00:00"/>
        <d v="2023-04-02T00:00:00"/>
        <d v="2023-11-18T00:00:00"/>
        <d v="2023-08-03T00:00:00"/>
        <d v="2023-12-08T00:00:00"/>
        <d v="2023-07-05T00:00:00"/>
        <d v="2023-03-04T00:00:00"/>
        <d v="2023-07-09T00:00:00"/>
        <d v="2023-05-05T00:00:00"/>
        <d v="2023-05-30T00:00:00"/>
        <d v="2023-11-10T00:00:00"/>
        <d v="2023-11-01T00:00:00"/>
        <d v="2023-06-29T00:00:00"/>
        <d v="2023-11-22T00:00:00"/>
        <d v="2023-04-11T00:00:00"/>
        <d v="2023-03-01T00:00:00"/>
        <d v="2023-04-18T00:00:00"/>
        <d v="2023-01-05T00:00:00"/>
        <d v="2023-04-13T00:00:00"/>
        <d v="2023-07-15T00:00:00"/>
        <d v="2023-09-19T00:00:00"/>
        <d v="2023-12-31T00:00:00"/>
        <d v="2023-12-16T00:00:00"/>
        <d v="2023-02-16T00:00:00"/>
        <d v="2023-11-07T00:00:00"/>
        <d v="2023-11-04T00:00:00"/>
        <d v="2023-09-26T00:00:00"/>
        <d v="2023-05-04T00:00:00"/>
        <d v="2023-05-25T00:00:00"/>
        <d v="2023-04-30T00:00:00"/>
        <d v="2023-11-15T00:00:00"/>
        <d v="2023-10-02T00:00:00"/>
        <d v="2023-12-12T00:00:00"/>
        <d v="2023-08-17T00:00:00"/>
        <d v="2023-04-27T00:00:00"/>
        <d v="2023-11-14T00:00:00"/>
        <d v="2023-10-06T00:00:00"/>
        <d v="2023-05-09T00:00:00"/>
        <d v="2023-05-02T00:00:00"/>
        <d v="2023-01-01T00:00:00"/>
        <d v="2023-08-27T00:00:00"/>
        <d v="2023-04-06T00:00:00"/>
        <d v="2023-02-17T00:00:00"/>
        <d v="2023-03-30T00:00:00"/>
        <d v="2023-08-25T00:00:00"/>
        <d v="2023-09-29T00:00:00"/>
        <d v="2023-07-08T00:00:00"/>
        <d v="2023-03-10T00:00:00"/>
        <d v="2023-10-05T00:00:00"/>
        <d v="2023-03-17T00:00:00"/>
        <d v="2023-06-03T00:00:00"/>
        <d v="2023-05-24T00:00:00"/>
        <d v="2023-03-27T00:00:00"/>
        <d v="2023-07-04T00:00:00"/>
        <d v="2023-10-12T00:00:00"/>
        <d v="2023-04-04T00:00:00"/>
        <d v="2023-07-23T00:00:00"/>
        <d v="2023-08-06T00:00:00"/>
        <d v="2023-12-07T00:00:00"/>
        <d v="2023-04-10T00:00:00"/>
        <d v="2023-10-16T00:00:00"/>
      </sharedItems>
      <fieldGroup par="13"/>
    </cacheField>
    <cacheField name="Day" numFmtId="0">
      <sharedItems containsString="0" containsBlank="1" containsNumber="1" containsInteger="1" minValue="1" maxValue="31" count="31">
        <m/>
        <n v="16"/>
        <n v="23"/>
        <n v="14"/>
        <n v="6"/>
        <n v="11"/>
        <n v="9"/>
        <n v="2"/>
        <n v="4"/>
        <n v="13"/>
        <n v="12"/>
        <n v="27"/>
        <n v="18"/>
        <n v="10"/>
        <n v="31"/>
        <n v="15"/>
        <n v="8"/>
        <n v="25"/>
        <n v="22"/>
        <n v="26"/>
        <n v="7"/>
        <n v="20"/>
        <n v="21"/>
        <n v="17"/>
        <n v="29"/>
        <n v="30"/>
        <n v="5"/>
        <n v="19"/>
        <n v="24"/>
        <n v="3"/>
        <n v="1"/>
      </sharedItems>
    </cacheField>
    <cacheField name="Month" numFmtId="0">
      <sharedItems containsString="0" containsBlank="1" containsNumber="1" containsInteger="1" minValue="1" maxValue="12" count="13">
        <m/>
        <n v="3"/>
        <n v="4"/>
        <n v="12"/>
        <n v="9"/>
        <n v="6"/>
        <n v="7"/>
        <n v="11"/>
        <n v="10"/>
        <n v="5"/>
        <n v="2"/>
        <n v="1"/>
        <n v="8"/>
      </sharedItems>
    </cacheField>
    <cacheField name="Year" numFmtId="0">
      <sharedItems containsString="0" containsBlank="1" containsNumber="1" containsInteger="1" minValue="2023" maxValue="2023" count="2">
        <m/>
        <n v="2023"/>
      </sharedItems>
    </cacheField>
    <cacheField name="Month Name" numFmtId="0">
      <sharedItems containsBlank="1" count="13">
        <m/>
        <s v="March"/>
        <s v="April"/>
        <s v="December"/>
        <s v="September"/>
        <s v="June"/>
        <s v="July"/>
        <s v="November"/>
        <s v="October"/>
        <s v="May"/>
        <s v="February"/>
        <s v="January"/>
        <s v="August"/>
      </sharedItems>
    </cacheField>
    <cacheField name="Country" numFmtId="0">
      <sharedItems count="4">
        <s v="Philippines"/>
        <s v="USA"/>
        <s v="UK"/>
        <s v="Unknown"/>
      </sharedItems>
    </cacheField>
    <cacheField name="Age" numFmtId="0">
      <sharedItems containsSemiMixedTypes="0" containsString="0" containsNumber="1" containsInteger="1" minValue="18" maxValue="64"/>
    </cacheField>
    <cacheField name="age_bracket" numFmtId="0">
      <sharedItems count="5">
        <s v="Mid-career(35-44)"/>
        <s v="Late Career(55-64)"/>
        <s v="Experienced Professionals(45-54)"/>
        <s v="Early professionals(25-34)"/>
        <s v="Young Adults(18-24)"/>
      </sharedItems>
    </cacheField>
    <cacheField name="MonthlySpend" numFmtId="0">
      <sharedItems containsSemiMixedTypes="0" containsString="0" containsNumber="1" minValue="-227.71" maxValue="4236.83"/>
    </cacheField>
    <cacheField name="Churned" numFmtId="0">
      <sharedItems containsSemiMixedTypes="0" containsString="0" containsNumber="1" containsInteger="1" minValue="0" maxValue="1" count="2">
        <n v="0"/>
        <n v="1"/>
      </sharedItems>
    </cacheField>
    <cacheField name="WatchTimeHours" numFmtId="0">
      <sharedItems containsSemiMixedTypes="0" containsString="0" containsNumber="1" minValue="0.01" maxValue="25.52" count="162">
        <n v="10.84"/>
        <n v="9.06"/>
        <n v="10.63"/>
        <n v="11.15"/>
        <n v="5.17"/>
        <n v="5.73"/>
        <n v="6.85"/>
        <n v="14.54"/>
        <n v="14.1"/>
        <n v="15.52"/>
        <n v="10.66"/>
        <n v="10.79"/>
        <n v="18.66"/>
        <n v="8.11"/>
        <n v="12.73"/>
        <n v="8.67"/>
        <n v="8.66"/>
        <n v="4.16"/>
        <n v="6.29"/>
        <n v="5.36"/>
        <n v="12.97"/>
        <n v="15.2"/>
        <n v="9.5299999999999994"/>
        <n v="9.24"/>
        <n v="5.95"/>
        <n v="13.26"/>
        <n v="0.54"/>
        <n v="5.59"/>
        <n v="8.0500000000000007"/>
        <n v="6.65"/>
        <n v="9.77"/>
        <n v="8.24"/>
        <n v="15.54"/>
        <n v="12.79"/>
        <n v="6.48"/>
        <n v="12.46"/>
        <n v="12.45"/>
        <n v="6.98"/>
        <n v="8.83"/>
        <n v="19.23"/>
        <n v="7.07"/>
        <n v="19.55"/>
        <n v="18.63"/>
        <n v="9.16"/>
        <n v="7.75"/>
        <n v="15.63"/>
        <n v="13.66"/>
        <n v="9.76"/>
        <n v="16.489999999999998"/>
        <n v="10.54"/>
        <n v="14.17"/>
        <n v="7.53"/>
        <n v="6.38"/>
        <n v="12.15"/>
        <n v="11.22"/>
        <n v="17.75"/>
        <n v="4.42"/>
        <n v="4.1399999999999997"/>
        <n v="14.3"/>
        <n v="11.77"/>
        <n v="12.51"/>
        <n v="22.58"/>
        <n v="1.72"/>
        <n v="7.91"/>
        <n v="7.59"/>
        <n v="18.13"/>
        <n v="12.57"/>
        <n v="8.7200000000000006"/>
        <n v="18.190000000000001"/>
        <n v="17.510000000000002"/>
        <n v="11.83"/>
        <n v="2.1"/>
        <n v="7.13"/>
        <n v="7.68"/>
        <n v="3.37"/>
        <n v="2.73"/>
        <n v="19.829999999999998"/>
        <n v="19.809999999999999"/>
        <n v="8.07"/>
        <n v="9.64"/>
        <n v="16.37"/>
        <n v="11.29"/>
        <n v="12.35"/>
        <n v="12.18"/>
        <n v="10.81"/>
        <n v="5.44"/>
        <n v="9.93"/>
        <n v="6.95"/>
        <n v="4.2699999999999996"/>
        <n v="10.31"/>
        <n v="6.1"/>
        <n v="7.64"/>
        <n v="15.38"/>
        <n v="13.16"/>
        <n v="5.1100000000000003"/>
        <n v="11.76"/>
        <n v="18.510000000000002"/>
        <n v="16.920000000000002"/>
        <n v="2.33"/>
        <n v="14.31"/>
        <n v="16.329999999999998"/>
        <n v="12.8"/>
        <n v="8.32"/>
        <n v="22.07"/>
        <n v="19.88"/>
        <n v="16.760000000000002"/>
        <n v="12.32"/>
        <n v="7.1"/>
        <n v="9.8800000000000008"/>
        <n v="8.89"/>
        <n v="3.93"/>
        <n v="13.25"/>
        <n v="17.84"/>
        <n v="8.51"/>
        <n v="20.82"/>
        <n v="2.21"/>
        <n v="15.27"/>
        <n v="18.36"/>
        <n v="8.98"/>
        <n v="9.07"/>
        <n v="12.53"/>
        <n v="0.01"/>
        <n v="3.15"/>
        <n v="7.63"/>
        <n v="3.28"/>
        <n v="8.15"/>
        <n v="9.5399999999999991"/>
        <n v="11.92"/>
        <n v="15.16"/>
        <n v="14.37"/>
        <n v="13.84"/>
        <n v="25.52"/>
        <n v="11.74"/>
        <n v="12.06"/>
        <n v="9.59"/>
        <n v="8.1300000000000008"/>
        <n v="18.2"/>
        <n v="13"/>
        <n v="3.61"/>
        <n v="2.2599999999999998"/>
        <n v="16.23"/>
        <n v="9.3699999999999992"/>
        <n v="13.75"/>
        <n v="6.41"/>
        <n v="18.28"/>
        <n v="2.2999999999999998"/>
        <n v="3.07"/>
        <n v="17.22"/>
        <n v="11.89"/>
        <n v="9.4600000000000009"/>
        <n v="6.32"/>
        <n v="9"/>
        <n v="5.76"/>
        <n v="17.71"/>
        <n v="19.02"/>
        <n v="11.38"/>
        <n v="15.37"/>
        <n v="15.24"/>
        <n v="8.52"/>
        <n v="10.08"/>
        <n v="1.91"/>
        <n v="17.73"/>
      </sharedItems>
    </cacheField>
    <cacheField name="Days (Signup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ignup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churn_share" numFmtId="0" formula="Churned/COUNT(CustomerID) * 100" databaseField="0"/>
    <cacheField name="totalchurn_pct" numFmtId="0" formula="54/178" databaseField="0"/>
  </cacheFields>
  <extLst>
    <ext xmlns:x14="http://schemas.microsoft.com/office/spreadsheetml/2009/9/main" uri="{725AE2AE-9491-48be-B2B4-4EB974FC3084}">
      <x14:pivotCacheDefinition pivotCacheId="1393717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
  <r>
    <x v="0"/>
    <x v="0"/>
    <x v="0"/>
    <x v="0"/>
    <x v="0"/>
    <x v="0"/>
    <x v="0"/>
    <n v="42"/>
    <x v="0"/>
    <n v="2139.17"/>
    <x v="0"/>
    <x v="0"/>
  </r>
  <r>
    <x v="1"/>
    <x v="1"/>
    <x v="1"/>
    <x v="1"/>
    <x v="1"/>
    <x v="1"/>
    <x v="0"/>
    <n v="57"/>
    <x v="1"/>
    <n v="2726.3"/>
    <x v="1"/>
    <x v="1"/>
  </r>
  <r>
    <x v="2"/>
    <x v="2"/>
    <x v="2"/>
    <x v="2"/>
    <x v="1"/>
    <x v="2"/>
    <x v="1"/>
    <n v="49"/>
    <x v="2"/>
    <n v="1992.97"/>
    <x v="0"/>
    <x v="2"/>
  </r>
  <r>
    <x v="3"/>
    <x v="3"/>
    <x v="3"/>
    <x v="2"/>
    <x v="1"/>
    <x v="2"/>
    <x v="1"/>
    <n v="51"/>
    <x v="2"/>
    <n v="2361.13"/>
    <x v="0"/>
    <x v="3"/>
  </r>
  <r>
    <x v="4"/>
    <x v="4"/>
    <x v="4"/>
    <x v="3"/>
    <x v="1"/>
    <x v="3"/>
    <x v="0"/>
    <n v="45"/>
    <x v="2"/>
    <n v="2652.68"/>
    <x v="0"/>
    <x v="4"/>
  </r>
  <r>
    <x v="5"/>
    <x v="5"/>
    <x v="5"/>
    <x v="4"/>
    <x v="1"/>
    <x v="4"/>
    <x v="0"/>
    <n v="48"/>
    <x v="2"/>
    <n v="2453.4"/>
    <x v="0"/>
    <x v="5"/>
  </r>
  <r>
    <x v="6"/>
    <x v="0"/>
    <x v="0"/>
    <x v="0"/>
    <x v="0"/>
    <x v="0"/>
    <x v="1"/>
    <n v="56"/>
    <x v="1"/>
    <n v="3426.49"/>
    <x v="0"/>
    <x v="6"/>
  </r>
  <r>
    <x v="7"/>
    <x v="6"/>
    <x v="6"/>
    <x v="2"/>
    <x v="1"/>
    <x v="2"/>
    <x v="2"/>
    <n v="43"/>
    <x v="0"/>
    <n v="2993.58"/>
    <x v="0"/>
    <x v="7"/>
  </r>
  <r>
    <x v="8"/>
    <x v="7"/>
    <x v="7"/>
    <x v="5"/>
    <x v="1"/>
    <x v="5"/>
    <x v="1"/>
    <n v="51"/>
    <x v="2"/>
    <n v="2133.5650000000001"/>
    <x v="0"/>
    <x v="0"/>
  </r>
  <r>
    <x v="9"/>
    <x v="8"/>
    <x v="8"/>
    <x v="3"/>
    <x v="1"/>
    <x v="3"/>
    <x v="0"/>
    <n v="42"/>
    <x v="0"/>
    <n v="2510.9"/>
    <x v="0"/>
    <x v="8"/>
  </r>
  <r>
    <x v="10"/>
    <x v="9"/>
    <x v="9"/>
    <x v="6"/>
    <x v="1"/>
    <x v="6"/>
    <x v="1"/>
    <n v="29"/>
    <x v="3"/>
    <n v="2172.69"/>
    <x v="0"/>
    <x v="9"/>
  </r>
  <r>
    <x v="11"/>
    <x v="10"/>
    <x v="4"/>
    <x v="7"/>
    <x v="1"/>
    <x v="7"/>
    <x v="0"/>
    <n v="18"/>
    <x v="4"/>
    <n v="2133.5650000000001"/>
    <x v="1"/>
    <x v="10"/>
  </r>
  <r>
    <x v="12"/>
    <x v="11"/>
    <x v="10"/>
    <x v="5"/>
    <x v="1"/>
    <x v="5"/>
    <x v="1"/>
    <n v="61"/>
    <x v="1"/>
    <n v="2789.99"/>
    <x v="0"/>
    <x v="11"/>
  </r>
  <r>
    <x v="13"/>
    <x v="12"/>
    <x v="11"/>
    <x v="6"/>
    <x v="1"/>
    <x v="6"/>
    <x v="3"/>
    <n v="22"/>
    <x v="4"/>
    <n v="2611.36"/>
    <x v="0"/>
    <x v="12"/>
  </r>
  <r>
    <x v="14"/>
    <x v="13"/>
    <x v="12"/>
    <x v="5"/>
    <x v="1"/>
    <x v="5"/>
    <x v="1"/>
    <n v="47"/>
    <x v="2"/>
    <n v="2010.36"/>
    <x v="1"/>
    <x v="13"/>
  </r>
  <r>
    <x v="15"/>
    <x v="14"/>
    <x v="13"/>
    <x v="5"/>
    <x v="1"/>
    <x v="5"/>
    <x v="0"/>
    <n v="47"/>
    <x v="2"/>
    <n v="1299.44"/>
    <x v="0"/>
    <x v="14"/>
  </r>
  <r>
    <x v="16"/>
    <x v="15"/>
    <x v="6"/>
    <x v="1"/>
    <x v="1"/>
    <x v="1"/>
    <x v="1"/>
    <n v="34"/>
    <x v="3"/>
    <n v="1841.63"/>
    <x v="1"/>
    <x v="15"/>
  </r>
  <r>
    <x v="17"/>
    <x v="0"/>
    <x v="0"/>
    <x v="0"/>
    <x v="0"/>
    <x v="0"/>
    <x v="0"/>
    <n v="42"/>
    <x v="0"/>
    <n v="2381.46"/>
    <x v="0"/>
    <x v="16"/>
  </r>
  <r>
    <x v="18"/>
    <x v="16"/>
    <x v="8"/>
    <x v="8"/>
    <x v="1"/>
    <x v="8"/>
    <x v="1"/>
    <n v="64"/>
    <x v="1"/>
    <n v="616.34"/>
    <x v="0"/>
    <x v="17"/>
  </r>
  <r>
    <x v="19"/>
    <x v="17"/>
    <x v="14"/>
    <x v="8"/>
    <x v="1"/>
    <x v="8"/>
    <x v="3"/>
    <n v="40"/>
    <x v="0"/>
    <n v="2993.37"/>
    <x v="0"/>
    <x v="18"/>
  </r>
  <r>
    <x v="20"/>
    <x v="18"/>
    <x v="15"/>
    <x v="9"/>
    <x v="1"/>
    <x v="9"/>
    <x v="0"/>
    <n v="32"/>
    <x v="3"/>
    <n v="3653.64"/>
    <x v="0"/>
    <x v="19"/>
  </r>
  <r>
    <x v="21"/>
    <x v="19"/>
    <x v="3"/>
    <x v="6"/>
    <x v="1"/>
    <x v="6"/>
    <x v="3"/>
    <n v="54"/>
    <x v="2"/>
    <n v="444.05"/>
    <x v="1"/>
    <x v="20"/>
  </r>
  <r>
    <x v="22"/>
    <x v="20"/>
    <x v="16"/>
    <x v="9"/>
    <x v="1"/>
    <x v="9"/>
    <x v="3"/>
    <n v="38"/>
    <x v="0"/>
    <n v="879.83"/>
    <x v="0"/>
    <x v="21"/>
  </r>
  <r>
    <x v="23"/>
    <x v="21"/>
    <x v="7"/>
    <x v="10"/>
    <x v="1"/>
    <x v="10"/>
    <x v="0"/>
    <n v="31"/>
    <x v="3"/>
    <n v="2183.73"/>
    <x v="0"/>
    <x v="22"/>
  </r>
  <r>
    <x v="24"/>
    <x v="22"/>
    <x v="17"/>
    <x v="5"/>
    <x v="1"/>
    <x v="5"/>
    <x v="0"/>
    <n v="19"/>
    <x v="4"/>
    <n v="1533.94"/>
    <x v="0"/>
    <x v="3"/>
  </r>
  <r>
    <x v="25"/>
    <x v="23"/>
    <x v="18"/>
    <x v="11"/>
    <x v="1"/>
    <x v="11"/>
    <x v="0"/>
    <n v="28"/>
    <x v="3"/>
    <n v="2208.73"/>
    <x v="0"/>
    <x v="23"/>
  </r>
  <r>
    <x v="26"/>
    <x v="24"/>
    <x v="19"/>
    <x v="12"/>
    <x v="1"/>
    <x v="12"/>
    <x v="0"/>
    <n v="56"/>
    <x v="1"/>
    <n v="1942.66"/>
    <x v="1"/>
    <x v="24"/>
  </r>
  <r>
    <x v="27"/>
    <x v="25"/>
    <x v="20"/>
    <x v="10"/>
    <x v="1"/>
    <x v="10"/>
    <x v="1"/>
    <n v="51"/>
    <x v="2"/>
    <n v="2133.5650000000001"/>
    <x v="0"/>
    <x v="25"/>
  </r>
  <r>
    <x v="28"/>
    <x v="26"/>
    <x v="12"/>
    <x v="12"/>
    <x v="1"/>
    <x v="12"/>
    <x v="0"/>
    <n v="55"/>
    <x v="1"/>
    <n v="2371.61"/>
    <x v="0"/>
    <x v="26"/>
  </r>
  <r>
    <x v="29"/>
    <x v="27"/>
    <x v="21"/>
    <x v="10"/>
    <x v="1"/>
    <x v="10"/>
    <x v="2"/>
    <n v="51"/>
    <x v="2"/>
    <n v="3204.02"/>
    <x v="1"/>
    <x v="27"/>
  </r>
  <r>
    <x v="30"/>
    <x v="28"/>
    <x v="22"/>
    <x v="4"/>
    <x v="1"/>
    <x v="4"/>
    <x v="0"/>
    <n v="35"/>
    <x v="0"/>
    <n v="1593.28"/>
    <x v="0"/>
    <x v="28"/>
  </r>
  <r>
    <x v="31"/>
    <x v="29"/>
    <x v="13"/>
    <x v="8"/>
    <x v="1"/>
    <x v="8"/>
    <x v="2"/>
    <n v="47"/>
    <x v="2"/>
    <n v="1006.53"/>
    <x v="1"/>
    <x v="29"/>
  </r>
  <r>
    <x v="32"/>
    <x v="30"/>
    <x v="11"/>
    <x v="11"/>
    <x v="1"/>
    <x v="11"/>
    <x v="0"/>
    <n v="32"/>
    <x v="3"/>
    <n v="2146.81"/>
    <x v="0"/>
    <x v="30"/>
  </r>
  <r>
    <x v="33"/>
    <x v="16"/>
    <x v="8"/>
    <x v="8"/>
    <x v="1"/>
    <x v="8"/>
    <x v="1"/>
    <n v="51"/>
    <x v="2"/>
    <n v="2425.5300000000002"/>
    <x v="1"/>
    <x v="31"/>
  </r>
  <r>
    <x v="34"/>
    <x v="31"/>
    <x v="9"/>
    <x v="8"/>
    <x v="1"/>
    <x v="8"/>
    <x v="1"/>
    <n v="55"/>
    <x v="1"/>
    <n v="2557.08"/>
    <x v="0"/>
    <x v="32"/>
  </r>
  <r>
    <x v="35"/>
    <x v="32"/>
    <x v="20"/>
    <x v="2"/>
    <x v="1"/>
    <x v="2"/>
    <x v="2"/>
    <n v="50"/>
    <x v="2"/>
    <n v="2412.9"/>
    <x v="0"/>
    <x v="33"/>
  </r>
  <r>
    <x v="36"/>
    <x v="33"/>
    <x v="5"/>
    <x v="8"/>
    <x v="1"/>
    <x v="8"/>
    <x v="2"/>
    <n v="41"/>
    <x v="0"/>
    <n v="2380.39"/>
    <x v="1"/>
    <x v="34"/>
  </r>
  <r>
    <x v="37"/>
    <x v="17"/>
    <x v="14"/>
    <x v="8"/>
    <x v="1"/>
    <x v="8"/>
    <x v="0"/>
    <n v="47"/>
    <x v="2"/>
    <n v="1455.4"/>
    <x v="1"/>
    <x v="35"/>
  </r>
  <r>
    <x v="38"/>
    <x v="34"/>
    <x v="11"/>
    <x v="9"/>
    <x v="1"/>
    <x v="9"/>
    <x v="0"/>
    <n v="59"/>
    <x v="1"/>
    <n v="2593.89"/>
    <x v="0"/>
    <x v="36"/>
  </r>
  <r>
    <x v="39"/>
    <x v="35"/>
    <x v="8"/>
    <x v="11"/>
    <x v="1"/>
    <x v="11"/>
    <x v="2"/>
    <n v="34"/>
    <x v="3"/>
    <n v="2194.77"/>
    <x v="1"/>
    <x v="37"/>
  </r>
  <r>
    <x v="40"/>
    <x v="36"/>
    <x v="8"/>
    <x v="10"/>
    <x v="1"/>
    <x v="10"/>
    <x v="2"/>
    <n v="22"/>
    <x v="4"/>
    <n v="2133.5650000000001"/>
    <x v="1"/>
    <x v="38"/>
  </r>
  <r>
    <x v="41"/>
    <x v="37"/>
    <x v="5"/>
    <x v="6"/>
    <x v="1"/>
    <x v="6"/>
    <x v="3"/>
    <n v="46"/>
    <x v="2"/>
    <n v="634.17999999999995"/>
    <x v="0"/>
    <x v="39"/>
  </r>
  <r>
    <x v="42"/>
    <x v="38"/>
    <x v="12"/>
    <x v="10"/>
    <x v="1"/>
    <x v="10"/>
    <x v="0"/>
    <n v="21"/>
    <x v="4"/>
    <n v="1599.37"/>
    <x v="1"/>
    <x v="40"/>
  </r>
  <r>
    <x v="43"/>
    <x v="39"/>
    <x v="23"/>
    <x v="11"/>
    <x v="1"/>
    <x v="11"/>
    <x v="0"/>
    <n v="27"/>
    <x v="3"/>
    <n v="3525.62"/>
    <x v="0"/>
    <x v="41"/>
  </r>
  <r>
    <x v="44"/>
    <x v="40"/>
    <x v="22"/>
    <x v="5"/>
    <x v="1"/>
    <x v="5"/>
    <x v="2"/>
    <n v="34"/>
    <x v="3"/>
    <n v="2442.0300000000002"/>
    <x v="1"/>
    <x v="9"/>
  </r>
  <r>
    <x v="45"/>
    <x v="41"/>
    <x v="16"/>
    <x v="12"/>
    <x v="1"/>
    <x v="12"/>
    <x v="0"/>
    <n v="27"/>
    <x v="3"/>
    <n v="2236.44"/>
    <x v="0"/>
    <x v="42"/>
  </r>
  <r>
    <x v="46"/>
    <x v="42"/>
    <x v="20"/>
    <x v="5"/>
    <x v="1"/>
    <x v="5"/>
    <x v="3"/>
    <n v="34"/>
    <x v="3"/>
    <n v="2566.34"/>
    <x v="0"/>
    <x v="6"/>
  </r>
  <r>
    <x v="47"/>
    <x v="43"/>
    <x v="15"/>
    <x v="10"/>
    <x v="1"/>
    <x v="10"/>
    <x v="2"/>
    <n v="37"/>
    <x v="0"/>
    <n v="3766.76"/>
    <x v="0"/>
    <x v="43"/>
  </r>
  <r>
    <x v="48"/>
    <x v="44"/>
    <x v="4"/>
    <x v="11"/>
    <x v="1"/>
    <x v="11"/>
    <x v="0"/>
    <n v="41"/>
    <x v="0"/>
    <n v="3598.44"/>
    <x v="0"/>
    <x v="44"/>
  </r>
  <r>
    <x v="49"/>
    <x v="6"/>
    <x v="6"/>
    <x v="2"/>
    <x v="1"/>
    <x v="2"/>
    <x v="2"/>
    <n v="22"/>
    <x v="4"/>
    <n v="736.38"/>
    <x v="0"/>
    <x v="45"/>
  </r>
  <r>
    <x v="50"/>
    <x v="45"/>
    <x v="4"/>
    <x v="10"/>
    <x v="1"/>
    <x v="10"/>
    <x v="0"/>
    <n v="23"/>
    <x v="4"/>
    <n v="709.27"/>
    <x v="1"/>
    <x v="46"/>
  </r>
  <r>
    <x v="51"/>
    <x v="46"/>
    <x v="15"/>
    <x v="3"/>
    <x v="1"/>
    <x v="3"/>
    <x v="1"/>
    <n v="30"/>
    <x v="3"/>
    <n v="2043.94"/>
    <x v="0"/>
    <x v="47"/>
  </r>
  <r>
    <x v="52"/>
    <x v="47"/>
    <x v="24"/>
    <x v="8"/>
    <x v="1"/>
    <x v="8"/>
    <x v="2"/>
    <n v="60"/>
    <x v="1"/>
    <n v="2193.61"/>
    <x v="0"/>
    <x v="48"/>
  </r>
  <r>
    <x v="53"/>
    <x v="48"/>
    <x v="25"/>
    <x v="5"/>
    <x v="1"/>
    <x v="5"/>
    <x v="0"/>
    <n v="60"/>
    <x v="1"/>
    <n v="775.62"/>
    <x v="0"/>
    <x v="49"/>
  </r>
  <r>
    <x v="54"/>
    <x v="49"/>
    <x v="26"/>
    <x v="2"/>
    <x v="1"/>
    <x v="2"/>
    <x v="2"/>
    <n v="42"/>
    <x v="0"/>
    <n v="506.12"/>
    <x v="0"/>
    <x v="50"/>
  </r>
  <r>
    <x v="55"/>
    <x v="6"/>
    <x v="6"/>
    <x v="2"/>
    <x v="1"/>
    <x v="2"/>
    <x v="0"/>
    <n v="28"/>
    <x v="3"/>
    <n v="1388.17"/>
    <x v="0"/>
    <x v="51"/>
  </r>
  <r>
    <x v="56"/>
    <x v="50"/>
    <x v="20"/>
    <x v="6"/>
    <x v="1"/>
    <x v="6"/>
    <x v="0"/>
    <n v="64"/>
    <x v="1"/>
    <n v="2732.94"/>
    <x v="0"/>
    <x v="52"/>
  </r>
  <r>
    <x v="57"/>
    <x v="51"/>
    <x v="19"/>
    <x v="2"/>
    <x v="1"/>
    <x v="2"/>
    <x v="3"/>
    <n v="40"/>
    <x v="0"/>
    <n v="2872.29"/>
    <x v="1"/>
    <x v="46"/>
  </r>
  <r>
    <x v="58"/>
    <x v="52"/>
    <x v="13"/>
    <x v="6"/>
    <x v="1"/>
    <x v="6"/>
    <x v="0"/>
    <n v="33"/>
    <x v="3"/>
    <n v="3364.66"/>
    <x v="0"/>
    <x v="53"/>
  </r>
  <r>
    <x v="59"/>
    <x v="53"/>
    <x v="13"/>
    <x v="4"/>
    <x v="1"/>
    <x v="4"/>
    <x v="0"/>
    <n v="48"/>
    <x v="2"/>
    <n v="1974.14"/>
    <x v="0"/>
    <x v="54"/>
  </r>
  <r>
    <x v="60"/>
    <x v="54"/>
    <x v="9"/>
    <x v="4"/>
    <x v="1"/>
    <x v="4"/>
    <x v="3"/>
    <n v="33"/>
    <x v="3"/>
    <n v="2807.92"/>
    <x v="0"/>
    <x v="55"/>
  </r>
  <r>
    <x v="61"/>
    <x v="55"/>
    <x v="27"/>
    <x v="7"/>
    <x v="1"/>
    <x v="7"/>
    <x v="1"/>
    <n v="25"/>
    <x v="3"/>
    <n v="1602.51"/>
    <x v="0"/>
    <x v="56"/>
  </r>
  <r>
    <x v="62"/>
    <x v="20"/>
    <x v="16"/>
    <x v="9"/>
    <x v="1"/>
    <x v="9"/>
    <x v="1"/>
    <n v="21"/>
    <x v="4"/>
    <n v="2310.2800000000002"/>
    <x v="1"/>
    <x v="57"/>
  </r>
  <r>
    <x v="63"/>
    <x v="56"/>
    <x v="16"/>
    <x v="8"/>
    <x v="1"/>
    <x v="8"/>
    <x v="0"/>
    <n v="21"/>
    <x v="4"/>
    <n v="1272.67"/>
    <x v="0"/>
    <x v="58"/>
  </r>
  <r>
    <x v="64"/>
    <x v="57"/>
    <x v="5"/>
    <x v="12"/>
    <x v="1"/>
    <x v="12"/>
    <x v="0"/>
    <n v="42"/>
    <x v="0"/>
    <n v="3313.68"/>
    <x v="0"/>
    <x v="59"/>
  </r>
  <r>
    <x v="65"/>
    <x v="58"/>
    <x v="2"/>
    <x v="10"/>
    <x v="1"/>
    <x v="10"/>
    <x v="1"/>
    <n v="20"/>
    <x v="4"/>
    <n v="1968.95"/>
    <x v="1"/>
    <x v="0"/>
  </r>
  <r>
    <x v="66"/>
    <x v="59"/>
    <x v="11"/>
    <x v="10"/>
    <x v="1"/>
    <x v="10"/>
    <x v="2"/>
    <n v="49"/>
    <x v="2"/>
    <n v="2069.63"/>
    <x v="1"/>
    <x v="60"/>
  </r>
  <r>
    <x v="67"/>
    <x v="60"/>
    <x v="19"/>
    <x v="3"/>
    <x v="1"/>
    <x v="3"/>
    <x v="2"/>
    <n v="44"/>
    <x v="0"/>
    <n v="1376.46"/>
    <x v="0"/>
    <x v="61"/>
  </r>
  <r>
    <x v="68"/>
    <x v="61"/>
    <x v="2"/>
    <x v="5"/>
    <x v="1"/>
    <x v="5"/>
    <x v="0"/>
    <n v="46"/>
    <x v="2"/>
    <n v="2133.5650000000001"/>
    <x v="0"/>
    <x v="62"/>
  </r>
  <r>
    <x v="69"/>
    <x v="62"/>
    <x v="20"/>
    <x v="8"/>
    <x v="1"/>
    <x v="8"/>
    <x v="0"/>
    <n v="49"/>
    <x v="2"/>
    <n v="2044.12"/>
    <x v="0"/>
    <x v="63"/>
  </r>
  <r>
    <x v="70"/>
    <x v="63"/>
    <x v="28"/>
    <x v="2"/>
    <x v="1"/>
    <x v="2"/>
    <x v="0"/>
    <n v="42"/>
    <x v="0"/>
    <n v="4004.55"/>
    <x v="1"/>
    <x v="64"/>
  </r>
  <r>
    <x v="71"/>
    <x v="64"/>
    <x v="15"/>
    <x v="8"/>
    <x v="1"/>
    <x v="8"/>
    <x v="1"/>
    <n v="36"/>
    <x v="0"/>
    <n v="1185.0999999999999"/>
    <x v="1"/>
    <x v="65"/>
  </r>
  <r>
    <x v="72"/>
    <x v="65"/>
    <x v="14"/>
    <x v="9"/>
    <x v="1"/>
    <x v="9"/>
    <x v="2"/>
    <n v="22"/>
    <x v="4"/>
    <n v="3131.4"/>
    <x v="1"/>
    <x v="66"/>
  </r>
  <r>
    <x v="73"/>
    <x v="66"/>
    <x v="20"/>
    <x v="9"/>
    <x v="1"/>
    <x v="9"/>
    <x v="0"/>
    <n v="35"/>
    <x v="0"/>
    <n v="1621.13"/>
    <x v="1"/>
    <x v="67"/>
  </r>
  <r>
    <x v="74"/>
    <x v="67"/>
    <x v="8"/>
    <x v="5"/>
    <x v="1"/>
    <x v="5"/>
    <x v="0"/>
    <n v="45"/>
    <x v="2"/>
    <n v="2021.81"/>
    <x v="0"/>
    <x v="68"/>
  </r>
  <r>
    <x v="75"/>
    <x v="68"/>
    <x v="25"/>
    <x v="4"/>
    <x v="1"/>
    <x v="4"/>
    <x v="0"/>
    <n v="59"/>
    <x v="1"/>
    <n v="1891.92"/>
    <x v="1"/>
    <x v="69"/>
  </r>
  <r>
    <x v="76"/>
    <x v="3"/>
    <x v="3"/>
    <x v="2"/>
    <x v="1"/>
    <x v="2"/>
    <x v="2"/>
    <n v="39"/>
    <x v="0"/>
    <n v="3364.93"/>
    <x v="1"/>
    <x v="70"/>
  </r>
  <r>
    <x v="77"/>
    <x v="69"/>
    <x v="19"/>
    <x v="8"/>
    <x v="1"/>
    <x v="8"/>
    <x v="1"/>
    <n v="38"/>
    <x v="0"/>
    <n v="2413.61"/>
    <x v="0"/>
    <x v="71"/>
  </r>
  <r>
    <x v="78"/>
    <x v="70"/>
    <x v="29"/>
    <x v="4"/>
    <x v="1"/>
    <x v="4"/>
    <x v="0"/>
    <n v="23"/>
    <x v="4"/>
    <n v="2945.58"/>
    <x v="0"/>
    <x v="72"/>
  </r>
  <r>
    <x v="79"/>
    <x v="22"/>
    <x v="17"/>
    <x v="5"/>
    <x v="1"/>
    <x v="5"/>
    <x v="0"/>
    <n v="18"/>
    <x v="4"/>
    <n v="2286.54"/>
    <x v="0"/>
    <x v="73"/>
  </r>
  <r>
    <x v="80"/>
    <x v="71"/>
    <x v="16"/>
    <x v="10"/>
    <x v="1"/>
    <x v="10"/>
    <x v="2"/>
    <n v="22"/>
    <x v="4"/>
    <n v="2133.5650000000001"/>
    <x v="0"/>
    <x v="74"/>
  </r>
  <r>
    <x v="81"/>
    <x v="72"/>
    <x v="27"/>
    <x v="5"/>
    <x v="1"/>
    <x v="5"/>
    <x v="0"/>
    <n v="58"/>
    <x v="1"/>
    <n v="2261.14"/>
    <x v="0"/>
    <x v="0"/>
  </r>
  <r>
    <x v="82"/>
    <x v="73"/>
    <x v="8"/>
    <x v="4"/>
    <x v="1"/>
    <x v="4"/>
    <x v="2"/>
    <n v="29"/>
    <x v="3"/>
    <n v="1674.44"/>
    <x v="0"/>
    <x v="75"/>
  </r>
  <r>
    <x v="83"/>
    <x v="74"/>
    <x v="19"/>
    <x v="11"/>
    <x v="1"/>
    <x v="11"/>
    <x v="2"/>
    <n v="43"/>
    <x v="0"/>
    <n v="838.24"/>
    <x v="1"/>
    <x v="76"/>
  </r>
  <r>
    <x v="84"/>
    <x v="75"/>
    <x v="22"/>
    <x v="3"/>
    <x v="1"/>
    <x v="3"/>
    <x v="0"/>
    <n v="63"/>
    <x v="1"/>
    <n v="2650.95"/>
    <x v="0"/>
    <x v="77"/>
  </r>
  <r>
    <x v="85"/>
    <x v="76"/>
    <x v="7"/>
    <x v="7"/>
    <x v="1"/>
    <x v="7"/>
    <x v="0"/>
    <n v="51"/>
    <x v="2"/>
    <n v="799.07"/>
    <x v="0"/>
    <x v="78"/>
  </r>
  <r>
    <x v="86"/>
    <x v="77"/>
    <x v="10"/>
    <x v="7"/>
    <x v="1"/>
    <x v="7"/>
    <x v="0"/>
    <n v="31"/>
    <x v="3"/>
    <n v="1648.11"/>
    <x v="0"/>
    <x v="79"/>
  </r>
  <r>
    <x v="87"/>
    <x v="78"/>
    <x v="26"/>
    <x v="10"/>
    <x v="1"/>
    <x v="10"/>
    <x v="2"/>
    <n v="62"/>
    <x v="1"/>
    <n v="3251.76"/>
    <x v="0"/>
    <x v="80"/>
  </r>
  <r>
    <x v="88"/>
    <x v="79"/>
    <x v="18"/>
    <x v="5"/>
    <x v="1"/>
    <x v="5"/>
    <x v="3"/>
    <n v="44"/>
    <x v="0"/>
    <n v="2963.98"/>
    <x v="0"/>
    <x v="81"/>
  </r>
  <r>
    <x v="89"/>
    <x v="80"/>
    <x v="21"/>
    <x v="11"/>
    <x v="1"/>
    <x v="11"/>
    <x v="3"/>
    <n v="26"/>
    <x v="3"/>
    <n v="2537.94"/>
    <x v="0"/>
    <x v="82"/>
  </r>
  <r>
    <x v="90"/>
    <x v="81"/>
    <x v="23"/>
    <x v="7"/>
    <x v="1"/>
    <x v="7"/>
    <x v="2"/>
    <n v="43"/>
    <x v="0"/>
    <n v="1496.1"/>
    <x v="1"/>
    <x v="0"/>
  </r>
  <r>
    <x v="91"/>
    <x v="28"/>
    <x v="22"/>
    <x v="4"/>
    <x v="1"/>
    <x v="4"/>
    <x v="0"/>
    <n v="64"/>
    <x v="1"/>
    <n v="1853.22"/>
    <x v="1"/>
    <x v="83"/>
  </r>
  <r>
    <x v="92"/>
    <x v="82"/>
    <x v="18"/>
    <x v="9"/>
    <x v="1"/>
    <x v="9"/>
    <x v="0"/>
    <n v="39"/>
    <x v="0"/>
    <n v="1736.58"/>
    <x v="0"/>
    <x v="84"/>
  </r>
  <r>
    <x v="93"/>
    <x v="83"/>
    <x v="2"/>
    <x v="9"/>
    <x v="1"/>
    <x v="9"/>
    <x v="2"/>
    <n v="64"/>
    <x v="1"/>
    <n v="1623.77"/>
    <x v="0"/>
    <x v="85"/>
  </r>
  <r>
    <x v="94"/>
    <x v="84"/>
    <x v="7"/>
    <x v="2"/>
    <x v="1"/>
    <x v="2"/>
    <x v="1"/>
    <n v="47"/>
    <x v="2"/>
    <n v="1678.04"/>
    <x v="0"/>
    <x v="86"/>
  </r>
  <r>
    <x v="95"/>
    <x v="85"/>
    <x v="12"/>
    <x v="7"/>
    <x v="1"/>
    <x v="7"/>
    <x v="3"/>
    <n v="42"/>
    <x v="0"/>
    <n v="1621.26"/>
    <x v="0"/>
    <x v="87"/>
  </r>
  <r>
    <x v="96"/>
    <x v="64"/>
    <x v="15"/>
    <x v="8"/>
    <x v="1"/>
    <x v="8"/>
    <x v="0"/>
    <n v="34"/>
    <x v="3"/>
    <n v="2761.51"/>
    <x v="0"/>
    <x v="88"/>
  </r>
  <r>
    <x v="97"/>
    <x v="86"/>
    <x v="29"/>
    <x v="12"/>
    <x v="1"/>
    <x v="12"/>
    <x v="0"/>
    <n v="43"/>
    <x v="0"/>
    <n v="1156.29"/>
    <x v="0"/>
    <x v="89"/>
  </r>
  <r>
    <x v="98"/>
    <x v="87"/>
    <x v="16"/>
    <x v="3"/>
    <x v="1"/>
    <x v="3"/>
    <x v="0"/>
    <n v="53"/>
    <x v="2"/>
    <n v="1416.42"/>
    <x v="0"/>
    <x v="90"/>
  </r>
  <r>
    <x v="99"/>
    <x v="27"/>
    <x v="21"/>
    <x v="10"/>
    <x v="1"/>
    <x v="10"/>
    <x v="0"/>
    <n v="18"/>
    <x v="4"/>
    <n v="733.27"/>
    <x v="1"/>
    <x v="91"/>
  </r>
  <r>
    <x v="100"/>
    <x v="7"/>
    <x v="7"/>
    <x v="5"/>
    <x v="1"/>
    <x v="5"/>
    <x v="0"/>
    <n v="25"/>
    <x v="3"/>
    <n v="3132.39"/>
    <x v="0"/>
    <x v="92"/>
  </r>
  <r>
    <x v="101"/>
    <x v="88"/>
    <x v="26"/>
    <x v="6"/>
    <x v="1"/>
    <x v="6"/>
    <x v="0"/>
    <n v="42"/>
    <x v="0"/>
    <n v="1362.8"/>
    <x v="0"/>
    <x v="93"/>
  </r>
  <r>
    <x v="102"/>
    <x v="89"/>
    <x v="8"/>
    <x v="1"/>
    <x v="1"/>
    <x v="1"/>
    <x v="0"/>
    <n v="52"/>
    <x v="2"/>
    <n v="2133.5650000000001"/>
    <x v="0"/>
    <x v="94"/>
  </r>
  <r>
    <x v="103"/>
    <x v="90"/>
    <x v="6"/>
    <x v="6"/>
    <x v="1"/>
    <x v="6"/>
    <x v="1"/>
    <n v="32"/>
    <x v="3"/>
    <n v="2380.2600000000002"/>
    <x v="0"/>
    <x v="95"/>
  </r>
  <r>
    <x v="104"/>
    <x v="91"/>
    <x v="26"/>
    <x v="9"/>
    <x v="1"/>
    <x v="9"/>
    <x v="2"/>
    <n v="64"/>
    <x v="1"/>
    <n v="3055.07"/>
    <x v="1"/>
    <x v="10"/>
  </r>
  <r>
    <x v="105"/>
    <x v="92"/>
    <x v="25"/>
    <x v="9"/>
    <x v="1"/>
    <x v="9"/>
    <x v="1"/>
    <n v="39"/>
    <x v="0"/>
    <n v="1831.99"/>
    <x v="0"/>
    <x v="96"/>
  </r>
  <r>
    <x v="106"/>
    <x v="93"/>
    <x v="13"/>
    <x v="7"/>
    <x v="1"/>
    <x v="7"/>
    <x v="3"/>
    <n v="31"/>
    <x v="3"/>
    <n v="1241.97"/>
    <x v="0"/>
    <x v="97"/>
  </r>
  <r>
    <x v="107"/>
    <x v="59"/>
    <x v="11"/>
    <x v="10"/>
    <x v="1"/>
    <x v="10"/>
    <x v="0"/>
    <n v="43"/>
    <x v="0"/>
    <n v="755.4"/>
    <x v="1"/>
    <x v="98"/>
  </r>
  <r>
    <x v="108"/>
    <x v="87"/>
    <x v="16"/>
    <x v="3"/>
    <x v="1"/>
    <x v="3"/>
    <x v="0"/>
    <n v="45"/>
    <x v="2"/>
    <n v="-227.71"/>
    <x v="0"/>
    <x v="99"/>
  </r>
  <r>
    <x v="109"/>
    <x v="94"/>
    <x v="30"/>
    <x v="7"/>
    <x v="1"/>
    <x v="7"/>
    <x v="2"/>
    <n v="40"/>
    <x v="0"/>
    <n v="2129.08"/>
    <x v="0"/>
    <x v="100"/>
  </r>
  <r>
    <x v="110"/>
    <x v="95"/>
    <x v="24"/>
    <x v="5"/>
    <x v="1"/>
    <x v="5"/>
    <x v="0"/>
    <n v="31"/>
    <x v="3"/>
    <n v="2620.38"/>
    <x v="1"/>
    <x v="101"/>
  </r>
  <r>
    <x v="111"/>
    <x v="72"/>
    <x v="27"/>
    <x v="5"/>
    <x v="1"/>
    <x v="5"/>
    <x v="3"/>
    <n v="41"/>
    <x v="0"/>
    <n v="2377.35"/>
    <x v="0"/>
    <x v="102"/>
  </r>
  <r>
    <x v="112"/>
    <x v="96"/>
    <x v="18"/>
    <x v="7"/>
    <x v="1"/>
    <x v="7"/>
    <x v="0"/>
    <n v="19"/>
    <x v="4"/>
    <n v="776.19"/>
    <x v="0"/>
    <x v="103"/>
  </r>
  <r>
    <x v="113"/>
    <x v="58"/>
    <x v="2"/>
    <x v="10"/>
    <x v="1"/>
    <x v="10"/>
    <x v="0"/>
    <n v="43"/>
    <x v="0"/>
    <n v="1441.43"/>
    <x v="0"/>
    <x v="104"/>
  </r>
  <r>
    <x v="114"/>
    <x v="97"/>
    <x v="5"/>
    <x v="2"/>
    <x v="1"/>
    <x v="2"/>
    <x v="2"/>
    <n v="31"/>
    <x v="3"/>
    <n v="1274.48"/>
    <x v="0"/>
    <x v="105"/>
  </r>
  <r>
    <x v="115"/>
    <x v="28"/>
    <x v="22"/>
    <x v="4"/>
    <x v="1"/>
    <x v="4"/>
    <x v="1"/>
    <n v="24"/>
    <x v="4"/>
    <n v="1423.49"/>
    <x v="0"/>
    <x v="106"/>
  </r>
  <r>
    <x v="116"/>
    <x v="0"/>
    <x v="0"/>
    <x v="0"/>
    <x v="0"/>
    <x v="0"/>
    <x v="3"/>
    <n v="20"/>
    <x v="4"/>
    <n v="2062.73"/>
    <x v="1"/>
    <x v="107"/>
  </r>
  <r>
    <x v="117"/>
    <x v="98"/>
    <x v="30"/>
    <x v="1"/>
    <x v="1"/>
    <x v="1"/>
    <x v="0"/>
    <n v="64"/>
    <x v="1"/>
    <n v="812.24"/>
    <x v="0"/>
    <x v="108"/>
  </r>
  <r>
    <x v="118"/>
    <x v="99"/>
    <x v="12"/>
    <x v="2"/>
    <x v="1"/>
    <x v="2"/>
    <x v="1"/>
    <n v="40"/>
    <x v="0"/>
    <n v="1970.37"/>
    <x v="0"/>
    <x v="109"/>
  </r>
  <r>
    <x v="119"/>
    <x v="100"/>
    <x v="26"/>
    <x v="11"/>
    <x v="1"/>
    <x v="11"/>
    <x v="3"/>
    <n v="63"/>
    <x v="1"/>
    <n v="2343.56"/>
    <x v="0"/>
    <x v="110"/>
  </r>
  <r>
    <x v="120"/>
    <x v="101"/>
    <x v="9"/>
    <x v="2"/>
    <x v="1"/>
    <x v="2"/>
    <x v="1"/>
    <n v="60"/>
    <x v="1"/>
    <n v="2885.86"/>
    <x v="0"/>
    <x v="111"/>
  </r>
  <r>
    <x v="121"/>
    <x v="102"/>
    <x v="15"/>
    <x v="6"/>
    <x v="1"/>
    <x v="6"/>
    <x v="1"/>
    <n v="64"/>
    <x v="1"/>
    <n v="2140.77"/>
    <x v="0"/>
    <x v="112"/>
  </r>
  <r>
    <x v="122"/>
    <x v="103"/>
    <x v="27"/>
    <x v="4"/>
    <x v="1"/>
    <x v="4"/>
    <x v="1"/>
    <n v="62"/>
    <x v="1"/>
    <n v="2133.5650000000001"/>
    <x v="0"/>
    <x v="113"/>
  </r>
  <r>
    <x v="123"/>
    <x v="104"/>
    <x v="14"/>
    <x v="3"/>
    <x v="1"/>
    <x v="3"/>
    <x v="0"/>
    <n v="35"/>
    <x v="0"/>
    <n v="2119.11"/>
    <x v="0"/>
    <x v="114"/>
  </r>
  <r>
    <x v="124"/>
    <x v="105"/>
    <x v="1"/>
    <x v="3"/>
    <x v="1"/>
    <x v="3"/>
    <x v="1"/>
    <n v="55"/>
    <x v="1"/>
    <n v="1151.79"/>
    <x v="0"/>
    <x v="115"/>
  </r>
  <r>
    <x v="125"/>
    <x v="106"/>
    <x v="1"/>
    <x v="10"/>
    <x v="1"/>
    <x v="10"/>
    <x v="1"/>
    <n v="52"/>
    <x v="2"/>
    <n v="1105.6400000000001"/>
    <x v="0"/>
    <x v="116"/>
  </r>
  <r>
    <x v="126"/>
    <x v="75"/>
    <x v="22"/>
    <x v="3"/>
    <x v="1"/>
    <x v="3"/>
    <x v="3"/>
    <n v="32"/>
    <x v="3"/>
    <n v="909.84"/>
    <x v="0"/>
    <x v="117"/>
  </r>
  <r>
    <x v="127"/>
    <x v="107"/>
    <x v="20"/>
    <x v="7"/>
    <x v="1"/>
    <x v="7"/>
    <x v="0"/>
    <n v="42"/>
    <x v="0"/>
    <n v="471"/>
    <x v="0"/>
    <x v="118"/>
  </r>
  <r>
    <x v="128"/>
    <x v="108"/>
    <x v="8"/>
    <x v="7"/>
    <x v="1"/>
    <x v="7"/>
    <x v="0"/>
    <n v="54"/>
    <x v="2"/>
    <n v="1546.27"/>
    <x v="0"/>
    <x v="119"/>
  </r>
  <r>
    <x v="129"/>
    <x v="109"/>
    <x v="19"/>
    <x v="4"/>
    <x v="1"/>
    <x v="4"/>
    <x v="2"/>
    <n v="27"/>
    <x v="3"/>
    <n v="3805.19"/>
    <x v="0"/>
    <x v="120"/>
  </r>
  <r>
    <x v="130"/>
    <x v="110"/>
    <x v="8"/>
    <x v="9"/>
    <x v="1"/>
    <x v="9"/>
    <x v="0"/>
    <n v="56"/>
    <x v="1"/>
    <n v="1541.13"/>
    <x v="0"/>
    <x v="121"/>
  </r>
  <r>
    <x v="131"/>
    <x v="42"/>
    <x v="20"/>
    <x v="5"/>
    <x v="1"/>
    <x v="5"/>
    <x v="0"/>
    <n v="56"/>
    <x v="1"/>
    <n v="1684.33"/>
    <x v="1"/>
    <x v="86"/>
  </r>
  <r>
    <x v="132"/>
    <x v="34"/>
    <x v="11"/>
    <x v="9"/>
    <x v="1"/>
    <x v="9"/>
    <x v="0"/>
    <n v="39"/>
    <x v="0"/>
    <n v="2133.5650000000001"/>
    <x v="1"/>
    <x v="122"/>
  </r>
  <r>
    <x v="133"/>
    <x v="111"/>
    <x v="17"/>
    <x v="9"/>
    <x v="1"/>
    <x v="9"/>
    <x v="0"/>
    <n v="43"/>
    <x v="0"/>
    <n v="2560.75"/>
    <x v="0"/>
    <x v="123"/>
  </r>
  <r>
    <x v="134"/>
    <x v="112"/>
    <x v="25"/>
    <x v="2"/>
    <x v="1"/>
    <x v="2"/>
    <x v="0"/>
    <n v="61"/>
    <x v="1"/>
    <n v="2187.85"/>
    <x v="0"/>
    <x v="124"/>
  </r>
  <r>
    <x v="135"/>
    <x v="113"/>
    <x v="15"/>
    <x v="7"/>
    <x v="1"/>
    <x v="7"/>
    <x v="1"/>
    <n v="42"/>
    <x v="0"/>
    <n v="3454.42"/>
    <x v="1"/>
    <x v="125"/>
  </r>
  <r>
    <x v="136"/>
    <x v="114"/>
    <x v="7"/>
    <x v="8"/>
    <x v="1"/>
    <x v="8"/>
    <x v="0"/>
    <n v="34"/>
    <x v="3"/>
    <n v="772.26"/>
    <x v="0"/>
    <x v="102"/>
  </r>
  <r>
    <x v="137"/>
    <x v="84"/>
    <x v="7"/>
    <x v="2"/>
    <x v="1"/>
    <x v="2"/>
    <x v="3"/>
    <n v="30"/>
    <x v="3"/>
    <n v="4236.83"/>
    <x v="0"/>
    <x v="95"/>
  </r>
  <r>
    <x v="138"/>
    <x v="59"/>
    <x v="11"/>
    <x v="10"/>
    <x v="1"/>
    <x v="10"/>
    <x v="3"/>
    <n v="37"/>
    <x v="0"/>
    <n v="3273.37"/>
    <x v="0"/>
    <x v="126"/>
  </r>
  <r>
    <x v="139"/>
    <x v="115"/>
    <x v="10"/>
    <x v="3"/>
    <x v="1"/>
    <x v="3"/>
    <x v="1"/>
    <n v="42"/>
    <x v="0"/>
    <n v="1985.66"/>
    <x v="0"/>
    <x v="60"/>
  </r>
  <r>
    <x v="140"/>
    <x v="116"/>
    <x v="23"/>
    <x v="12"/>
    <x v="1"/>
    <x v="12"/>
    <x v="1"/>
    <n v="21"/>
    <x v="4"/>
    <n v="1761.09"/>
    <x v="1"/>
    <x v="127"/>
  </r>
  <r>
    <x v="141"/>
    <x v="117"/>
    <x v="11"/>
    <x v="2"/>
    <x v="1"/>
    <x v="2"/>
    <x v="0"/>
    <n v="27"/>
    <x v="3"/>
    <n v="1427.35"/>
    <x v="1"/>
    <x v="128"/>
  </r>
  <r>
    <x v="142"/>
    <x v="118"/>
    <x v="3"/>
    <x v="7"/>
    <x v="1"/>
    <x v="7"/>
    <x v="2"/>
    <n v="20"/>
    <x v="4"/>
    <n v="2087.79"/>
    <x v="0"/>
    <x v="129"/>
  </r>
  <r>
    <x v="143"/>
    <x v="119"/>
    <x v="4"/>
    <x v="8"/>
    <x v="1"/>
    <x v="8"/>
    <x v="1"/>
    <n v="58"/>
    <x v="1"/>
    <n v="1852.85"/>
    <x v="0"/>
    <x v="130"/>
  </r>
  <r>
    <x v="144"/>
    <x v="66"/>
    <x v="20"/>
    <x v="9"/>
    <x v="1"/>
    <x v="9"/>
    <x v="0"/>
    <n v="62"/>
    <x v="1"/>
    <n v="2411.04"/>
    <x v="1"/>
    <x v="131"/>
  </r>
  <r>
    <x v="145"/>
    <x v="120"/>
    <x v="6"/>
    <x v="9"/>
    <x v="1"/>
    <x v="9"/>
    <x v="3"/>
    <n v="35"/>
    <x v="0"/>
    <n v="1764.51"/>
    <x v="1"/>
    <x v="132"/>
  </r>
  <r>
    <x v="146"/>
    <x v="121"/>
    <x v="7"/>
    <x v="9"/>
    <x v="1"/>
    <x v="9"/>
    <x v="3"/>
    <n v="53"/>
    <x v="2"/>
    <n v="2100.04"/>
    <x v="1"/>
    <x v="133"/>
  </r>
  <r>
    <x v="147"/>
    <x v="122"/>
    <x v="30"/>
    <x v="11"/>
    <x v="1"/>
    <x v="11"/>
    <x v="2"/>
    <n v="64"/>
    <x v="1"/>
    <n v="1794.55"/>
    <x v="1"/>
    <x v="134"/>
  </r>
  <r>
    <x v="148"/>
    <x v="123"/>
    <x v="11"/>
    <x v="12"/>
    <x v="1"/>
    <x v="12"/>
    <x v="1"/>
    <n v="39"/>
    <x v="0"/>
    <n v="2819.43"/>
    <x v="1"/>
    <x v="135"/>
  </r>
  <r>
    <x v="149"/>
    <x v="124"/>
    <x v="4"/>
    <x v="2"/>
    <x v="1"/>
    <x v="2"/>
    <x v="3"/>
    <n v="64"/>
    <x v="1"/>
    <n v="2272.79"/>
    <x v="0"/>
    <x v="136"/>
  </r>
  <r>
    <x v="150"/>
    <x v="0"/>
    <x v="0"/>
    <x v="0"/>
    <x v="0"/>
    <x v="0"/>
    <x v="2"/>
    <n v="25"/>
    <x v="3"/>
    <n v="2020.46"/>
    <x v="1"/>
    <x v="137"/>
  </r>
  <r>
    <x v="151"/>
    <x v="125"/>
    <x v="23"/>
    <x v="10"/>
    <x v="1"/>
    <x v="10"/>
    <x v="0"/>
    <n v="42"/>
    <x v="0"/>
    <n v="633.20000000000005"/>
    <x v="1"/>
    <x v="138"/>
  </r>
  <r>
    <x v="152"/>
    <x v="126"/>
    <x v="25"/>
    <x v="1"/>
    <x v="1"/>
    <x v="1"/>
    <x v="0"/>
    <n v="61"/>
    <x v="1"/>
    <n v="2808.28"/>
    <x v="0"/>
    <x v="139"/>
  </r>
  <r>
    <x v="153"/>
    <x v="127"/>
    <x v="17"/>
    <x v="12"/>
    <x v="1"/>
    <x v="12"/>
    <x v="2"/>
    <n v="36"/>
    <x v="0"/>
    <n v="2770.23"/>
    <x v="0"/>
    <x v="140"/>
  </r>
  <r>
    <x v="154"/>
    <x v="128"/>
    <x v="24"/>
    <x v="4"/>
    <x v="1"/>
    <x v="4"/>
    <x v="3"/>
    <n v="59"/>
    <x v="1"/>
    <n v="2138.0500000000002"/>
    <x v="0"/>
    <x v="141"/>
  </r>
  <r>
    <x v="155"/>
    <x v="129"/>
    <x v="16"/>
    <x v="6"/>
    <x v="1"/>
    <x v="6"/>
    <x v="0"/>
    <n v="58"/>
    <x v="1"/>
    <n v="3373.33"/>
    <x v="0"/>
    <x v="142"/>
  </r>
  <r>
    <x v="156"/>
    <x v="37"/>
    <x v="5"/>
    <x v="6"/>
    <x v="1"/>
    <x v="6"/>
    <x v="1"/>
    <n v="54"/>
    <x v="2"/>
    <n v="2352.77"/>
    <x v="1"/>
    <x v="143"/>
  </r>
  <r>
    <x v="157"/>
    <x v="130"/>
    <x v="13"/>
    <x v="1"/>
    <x v="1"/>
    <x v="1"/>
    <x v="0"/>
    <n v="23"/>
    <x v="4"/>
    <n v="2999.84"/>
    <x v="1"/>
    <x v="144"/>
  </r>
  <r>
    <x v="158"/>
    <x v="131"/>
    <x v="26"/>
    <x v="8"/>
    <x v="1"/>
    <x v="8"/>
    <x v="3"/>
    <n v="43"/>
    <x v="0"/>
    <n v="2336.2600000000002"/>
    <x v="1"/>
    <x v="145"/>
  </r>
  <r>
    <x v="159"/>
    <x v="46"/>
    <x v="15"/>
    <x v="3"/>
    <x v="1"/>
    <x v="3"/>
    <x v="2"/>
    <n v="51"/>
    <x v="2"/>
    <n v="1779.35"/>
    <x v="0"/>
    <x v="146"/>
  </r>
  <r>
    <x v="160"/>
    <x v="73"/>
    <x v="8"/>
    <x v="4"/>
    <x v="1"/>
    <x v="4"/>
    <x v="2"/>
    <n v="62"/>
    <x v="1"/>
    <n v="1153.97"/>
    <x v="0"/>
    <x v="147"/>
  </r>
  <r>
    <x v="161"/>
    <x v="132"/>
    <x v="23"/>
    <x v="1"/>
    <x v="1"/>
    <x v="1"/>
    <x v="0"/>
    <n v="23"/>
    <x v="4"/>
    <n v="1517.25"/>
    <x v="0"/>
    <x v="0"/>
  </r>
  <r>
    <x v="162"/>
    <x v="133"/>
    <x v="29"/>
    <x v="5"/>
    <x v="1"/>
    <x v="5"/>
    <x v="0"/>
    <n v="54"/>
    <x v="2"/>
    <n v="1794.3"/>
    <x v="0"/>
    <x v="148"/>
  </r>
  <r>
    <x v="163"/>
    <x v="134"/>
    <x v="28"/>
    <x v="9"/>
    <x v="1"/>
    <x v="9"/>
    <x v="0"/>
    <n v="50"/>
    <x v="2"/>
    <n v="3090.52"/>
    <x v="0"/>
    <x v="149"/>
  </r>
  <r>
    <x v="164"/>
    <x v="135"/>
    <x v="11"/>
    <x v="1"/>
    <x v="1"/>
    <x v="1"/>
    <x v="0"/>
    <n v="39"/>
    <x v="0"/>
    <n v="2615.94"/>
    <x v="0"/>
    <x v="150"/>
  </r>
  <r>
    <x v="165"/>
    <x v="136"/>
    <x v="8"/>
    <x v="6"/>
    <x v="1"/>
    <x v="6"/>
    <x v="2"/>
    <n v="38"/>
    <x v="0"/>
    <n v="2264.2600000000002"/>
    <x v="0"/>
    <x v="151"/>
  </r>
  <r>
    <x v="166"/>
    <x v="137"/>
    <x v="10"/>
    <x v="8"/>
    <x v="1"/>
    <x v="8"/>
    <x v="2"/>
    <n v="23"/>
    <x v="4"/>
    <n v="2696.01"/>
    <x v="0"/>
    <x v="152"/>
  </r>
  <r>
    <x v="167"/>
    <x v="41"/>
    <x v="16"/>
    <x v="12"/>
    <x v="1"/>
    <x v="12"/>
    <x v="3"/>
    <n v="23"/>
    <x v="4"/>
    <n v="2421.91"/>
    <x v="1"/>
    <x v="153"/>
  </r>
  <r>
    <x v="168"/>
    <x v="130"/>
    <x v="13"/>
    <x v="1"/>
    <x v="1"/>
    <x v="1"/>
    <x v="3"/>
    <n v="42"/>
    <x v="0"/>
    <n v="2209.5500000000002"/>
    <x v="1"/>
    <x v="154"/>
  </r>
  <r>
    <x v="169"/>
    <x v="138"/>
    <x v="8"/>
    <x v="2"/>
    <x v="1"/>
    <x v="2"/>
    <x v="2"/>
    <n v="47"/>
    <x v="2"/>
    <n v="2911.33"/>
    <x v="0"/>
    <x v="155"/>
  </r>
  <r>
    <x v="170"/>
    <x v="24"/>
    <x v="19"/>
    <x v="12"/>
    <x v="1"/>
    <x v="12"/>
    <x v="3"/>
    <n v="28"/>
    <x v="3"/>
    <n v="1633.19"/>
    <x v="1"/>
    <x v="74"/>
  </r>
  <r>
    <x v="171"/>
    <x v="139"/>
    <x v="2"/>
    <x v="6"/>
    <x v="1"/>
    <x v="6"/>
    <x v="2"/>
    <n v="47"/>
    <x v="2"/>
    <n v="2870.83"/>
    <x v="0"/>
    <x v="156"/>
  </r>
  <r>
    <x v="172"/>
    <x v="140"/>
    <x v="4"/>
    <x v="12"/>
    <x v="1"/>
    <x v="12"/>
    <x v="0"/>
    <n v="48"/>
    <x v="2"/>
    <n v="2133.5650000000001"/>
    <x v="1"/>
    <x v="157"/>
  </r>
  <r>
    <x v="173"/>
    <x v="141"/>
    <x v="20"/>
    <x v="3"/>
    <x v="1"/>
    <x v="3"/>
    <x v="0"/>
    <n v="41"/>
    <x v="0"/>
    <n v="1463.97"/>
    <x v="1"/>
    <x v="158"/>
  </r>
  <r>
    <x v="174"/>
    <x v="71"/>
    <x v="16"/>
    <x v="10"/>
    <x v="1"/>
    <x v="10"/>
    <x v="0"/>
    <n v="26"/>
    <x v="3"/>
    <n v="2759.77"/>
    <x v="0"/>
    <x v="159"/>
  </r>
  <r>
    <x v="175"/>
    <x v="142"/>
    <x v="13"/>
    <x v="2"/>
    <x v="1"/>
    <x v="2"/>
    <x v="3"/>
    <n v="20"/>
    <x v="4"/>
    <n v="1711.21"/>
    <x v="0"/>
    <x v="22"/>
  </r>
  <r>
    <x v="176"/>
    <x v="143"/>
    <x v="1"/>
    <x v="8"/>
    <x v="1"/>
    <x v="8"/>
    <x v="1"/>
    <n v="48"/>
    <x v="2"/>
    <n v="1715.97"/>
    <x v="0"/>
    <x v="160"/>
  </r>
  <r>
    <x v="177"/>
    <x v="5"/>
    <x v="5"/>
    <x v="4"/>
    <x v="1"/>
    <x v="4"/>
    <x v="0"/>
    <n v="57"/>
    <x v="1"/>
    <n v="2205.98"/>
    <x v="0"/>
    <x v="1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CE7C6F-CE19-4118-A67C-4AF6B529C053}" name="user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6">
    <pivotField showAll="0"/>
    <pivotField axis="axisRow" showAll="0">
      <items count="145">
        <item x="122"/>
        <item x="35"/>
        <item x="100"/>
        <item x="44"/>
        <item x="39"/>
        <item x="80"/>
        <item x="23"/>
        <item x="74"/>
        <item x="30"/>
        <item x="21"/>
        <item x="36"/>
        <item x="78"/>
        <item x="45"/>
        <item x="25"/>
        <item x="71"/>
        <item x="43"/>
        <item x="106"/>
        <item x="125"/>
        <item x="38"/>
        <item x="27"/>
        <item x="58"/>
        <item x="59"/>
        <item x="98"/>
        <item x="89"/>
        <item x="15"/>
        <item x="130"/>
        <item x="1"/>
        <item x="132"/>
        <item x="135"/>
        <item x="126"/>
        <item x="84"/>
        <item x="138"/>
        <item x="49"/>
        <item x="124"/>
        <item x="32"/>
        <item x="6"/>
        <item x="142"/>
        <item x="97"/>
        <item x="101"/>
        <item x="3"/>
        <item x="99"/>
        <item x="2"/>
        <item x="63"/>
        <item x="51"/>
        <item x="117"/>
        <item x="112"/>
        <item x="121"/>
        <item x="110"/>
        <item x="91"/>
        <item x="66"/>
        <item x="20"/>
        <item x="120"/>
        <item x="18"/>
        <item x="82"/>
        <item x="83"/>
        <item x="134"/>
        <item x="111"/>
        <item x="34"/>
        <item x="92"/>
        <item x="65"/>
        <item x="7"/>
        <item x="133"/>
        <item x="67"/>
        <item x="42"/>
        <item x="14"/>
        <item x="11"/>
        <item x="13"/>
        <item x="72"/>
        <item x="40"/>
        <item x="79"/>
        <item x="61"/>
        <item x="22"/>
        <item x="95"/>
        <item x="48"/>
        <item x="136"/>
        <item x="88"/>
        <item x="50"/>
        <item x="129"/>
        <item x="90"/>
        <item x="52"/>
        <item x="37"/>
        <item x="9"/>
        <item x="19"/>
        <item x="102"/>
        <item x="139"/>
        <item x="12"/>
        <item x="86"/>
        <item x="140"/>
        <item x="41"/>
        <item x="57"/>
        <item x="116"/>
        <item x="26"/>
        <item x="127"/>
        <item x="24"/>
        <item x="123"/>
        <item x="70"/>
        <item x="73"/>
        <item x="53"/>
        <item x="5"/>
        <item x="54"/>
        <item x="103"/>
        <item x="28"/>
        <item x="109"/>
        <item x="128"/>
        <item x="68"/>
        <item x="114"/>
        <item x="16"/>
        <item x="131"/>
        <item x="119"/>
        <item x="62"/>
        <item x="56"/>
        <item x="29"/>
        <item x="33"/>
        <item x="137"/>
        <item x="31"/>
        <item x="64"/>
        <item x="143"/>
        <item x="69"/>
        <item x="47"/>
        <item x="17"/>
        <item x="94"/>
        <item x="76"/>
        <item x="108"/>
        <item x="10"/>
        <item x="107"/>
        <item x="93"/>
        <item x="77"/>
        <item x="118"/>
        <item x="113"/>
        <item x="81"/>
        <item x="85"/>
        <item x="55"/>
        <item x="96"/>
        <item x="8"/>
        <item x="4"/>
        <item x="141"/>
        <item x="87"/>
        <item x="115"/>
        <item x="46"/>
        <item x="105"/>
        <item x="75"/>
        <item x="60"/>
        <item x="104"/>
        <item x="0"/>
        <item t="default"/>
      </items>
    </pivotField>
    <pivotField showAll="0"/>
    <pivotField showAll="0"/>
    <pivotField showAll="0"/>
    <pivotField showAll="0">
      <items count="14">
        <item x="11"/>
        <item x="10"/>
        <item x="1"/>
        <item x="2"/>
        <item x="9"/>
        <item x="5"/>
        <item x="6"/>
        <item x="12"/>
        <item x="4"/>
        <item x="8"/>
        <item x="7"/>
        <item x="3"/>
        <item x="0"/>
        <item t="default"/>
      </items>
    </pivotField>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2">
    <field x="13"/>
    <field x="1"/>
  </rowFields>
  <rowItems count="13">
    <i>
      <x v="1"/>
    </i>
    <i>
      <x v="2"/>
    </i>
    <i>
      <x v="3"/>
    </i>
    <i>
      <x v="4"/>
    </i>
    <i>
      <x v="5"/>
    </i>
    <i>
      <x v="6"/>
    </i>
    <i>
      <x v="7"/>
    </i>
    <i>
      <x v="8"/>
    </i>
    <i>
      <x v="9"/>
    </i>
    <i>
      <x v="10"/>
    </i>
    <i>
      <x v="11"/>
    </i>
    <i>
      <x v="12"/>
    </i>
    <i t="grand">
      <x/>
    </i>
  </rowItems>
  <colItems count="1">
    <i/>
  </colItems>
  <dataFields count="1">
    <dataField name="Sum of Churned" fld="10" showDataAs="percentOfTotal" baseField="8" baseItem="0" numFmtId="10"/>
  </dataFields>
  <conditionalFormats count="1">
    <conditionalFormat priority="2">
      <pivotAreas count="12">
        <pivotArea type="data" collapsedLevelsAreSubtotals="1" fieldPosition="0">
          <references count="2">
            <reference field="4294967294" count="1" selected="0">
              <x v="0"/>
            </reference>
            <reference field="13" count="1">
              <x v="1"/>
            </reference>
          </references>
        </pivotArea>
        <pivotArea type="data" collapsedLevelsAreSubtotals="1" fieldPosition="0">
          <references count="2">
            <reference field="4294967294" count="1" selected="0">
              <x v="0"/>
            </reference>
            <reference field="13" count="1">
              <x v="2"/>
            </reference>
          </references>
        </pivotArea>
        <pivotArea type="data" collapsedLevelsAreSubtotals="1" fieldPosition="0">
          <references count="2">
            <reference field="4294967294" count="1" selected="0">
              <x v="0"/>
            </reference>
            <reference field="13" count="1">
              <x v="3"/>
            </reference>
          </references>
        </pivotArea>
        <pivotArea type="data" collapsedLevelsAreSubtotals="1" fieldPosition="0">
          <references count="2">
            <reference field="4294967294" count="1" selected="0">
              <x v="0"/>
            </reference>
            <reference field="13" count="1">
              <x v="4"/>
            </reference>
          </references>
        </pivotArea>
        <pivotArea type="data" collapsedLevelsAreSubtotals="1" fieldPosition="0">
          <references count="2">
            <reference field="4294967294" count="1" selected="0">
              <x v="0"/>
            </reference>
            <reference field="13" count="1">
              <x v="5"/>
            </reference>
          </references>
        </pivotArea>
        <pivotArea type="data" collapsedLevelsAreSubtotals="1" fieldPosition="0">
          <references count="2">
            <reference field="4294967294" count="1" selected="0">
              <x v="0"/>
            </reference>
            <reference field="13" count="1">
              <x v="6"/>
            </reference>
          </references>
        </pivotArea>
        <pivotArea type="data" collapsedLevelsAreSubtotals="1" fieldPosition="0">
          <references count="2">
            <reference field="4294967294" count="1" selected="0">
              <x v="0"/>
            </reference>
            <reference field="13" count="1">
              <x v="7"/>
            </reference>
          </references>
        </pivotArea>
        <pivotArea type="data" collapsedLevelsAreSubtotals="1" fieldPosition="0">
          <references count="2">
            <reference field="4294967294" count="1" selected="0">
              <x v="0"/>
            </reference>
            <reference field="13" count="1">
              <x v="8"/>
            </reference>
          </references>
        </pivotArea>
        <pivotArea type="data" collapsedLevelsAreSubtotals="1" fieldPosition="0">
          <references count="2">
            <reference field="4294967294" count="1" selected="0">
              <x v="0"/>
            </reference>
            <reference field="13" count="1">
              <x v="9"/>
            </reference>
          </references>
        </pivotArea>
        <pivotArea type="data" collapsedLevelsAreSubtotals="1" fieldPosition="0">
          <references count="2">
            <reference field="4294967294" count="1" selected="0">
              <x v="0"/>
            </reference>
            <reference field="13" count="1">
              <x v="10"/>
            </reference>
          </references>
        </pivotArea>
        <pivotArea type="data" collapsedLevelsAreSubtotals="1" fieldPosition="0">
          <references count="2">
            <reference field="4294967294" count="1" selected="0">
              <x v="0"/>
            </reference>
            <reference field="13" count="1">
              <x v="11"/>
            </reference>
          </references>
        </pivotArea>
        <pivotArea type="data" collapsedLevelsAreSubtotals="1" fieldPosition="0">
          <references count="2">
            <reference field="4294967294" count="1" selected="0">
              <x v="0"/>
            </reference>
            <reference field="13" count="1">
              <x v="12"/>
            </reference>
          </references>
        </pivotArea>
      </pivotAreas>
    </conditionalFormat>
  </conditional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70EBA-3B19-4FBE-BAF5-64C8D7D2DA4C}" name="country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16" firstHeaderRow="1" firstDataRow="1" firstDataCol="1"/>
  <pivotFields count="16">
    <pivotField showAll="0"/>
    <pivotField showAll="0">
      <items count="145">
        <item x="122"/>
        <item x="35"/>
        <item x="100"/>
        <item x="44"/>
        <item x="39"/>
        <item x="80"/>
        <item x="23"/>
        <item x="74"/>
        <item x="30"/>
        <item x="21"/>
        <item x="36"/>
        <item x="78"/>
        <item x="45"/>
        <item x="25"/>
        <item x="71"/>
        <item x="43"/>
        <item x="106"/>
        <item x="125"/>
        <item x="38"/>
        <item x="27"/>
        <item x="58"/>
        <item x="59"/>
        <item x="98"/>
        <item x="89"/>
        <item x="15"/>
        <item x="130"/>
        <item x="1"/>
        <item x="132"/>
        <item x="135"/>
        <item x="126"/>
        <item x="84"/>
        <item x="138"/>
        <item x="49"/>
        <item x="124"/>
        <item x="32"/>
        <item x="6"/>
        <item x="142"/>
        <item x="97"/>
        <item x="101"/>
        <item x="3"/>
        <item x="99"/>
        <item x="2"/>
        <item x="63"/>
        <item x="51"/>
        <item x="117"/>
        <item x="112"/>
        <item x="121"/>
        <item x="110"/>
        <item x="91"/>
        <item x="66"/>
        <item x="20"/>
        <item x="120"/>
        <item x="18"/>
        <item x="82"/>
        <item x="83"/>
        <item x="134"/>
        <item x="111"/>
        <item x="34"/>
        <item x="92"/>
        <item x="65"/>
        <item x="7"/>
        <item x="133"/>
        <item x="67"/>
        <item x="42"/>
        <item x="14"/>
        <item x="11"/>
        <item x="13"/>
        <item x="72"/>
        <item x="40"/>
        <item x="79"/>
        <item x="61"/>
        <item x="22"/>
        <item x="95"/>
        <item x="48"/>
        <item x="136"/>
        <item x="88"/>
        <item x="50"/>
        <item x="129"/>
        <item x="90"/>
        <item x="52"/>
        <item x="37"/>
        <item x="9"/>
        <item x="19"/>
        <item x="102"/>
        <item x="139"/>
        <item x="12"/>
        <item x="86"/>
        <item x="140"/>
        <item x="41"/>
        <item x="57"/>
        <item x="116"/>
        <item x="26"/>
        <item x="127"/>
        <item x="24"/>
        <item x="123"/>
        <item x="70"/>
        <item x="73"/>
        <item x="53"/>
        <item x="5"/>
        <item x="54"/>
        <item x="103"/>
        <item x="28"/>
        <item x="109"/>
        <item x="128"/>
        <item x="68"/>
        <item x="114"/>
        <item x="16"/>
        <item x="131"/>
        <item x="119"/>
        <item x="62"/>
        <item x="56"/>
        <item x="29"/>
        <item x="33"/>
        <item x="137"/>
        <item x="31"/>
        <item x="64"/>
        <item x="143"/>
        <item x="69"/>
        <item x="47"/>
        <item x="17"/>
        <item x="94"/>
        <item x="76"/>
        <item x="108"/>
        <item x="10"/>
        <item x="107"/>
        <item x="93"/>
        <item x="77"/>
        <item x="118"/>
        <item x="113"/>
        <item x="81"/>
        <item x="85"/>
        <item x="55"/>
        <item x="96"/>
        <item x="8"/>
        <item x="4"/>
        <item x="141"/>
        <item x="87"/>
        <item x="115"/>
        <item x="46"/>
        <item x="105"/>
        <item x="75"/>
        <item x="60"/>
        <item x="104"/>
        <item x="0"/>
        <item t="default"/>
      </items>
    </pivotField>
    <pivotField showAll="0"/>
    <pivotField showAll="0"/>
    <pivotField showAll="0"/>
    <pivotField showAll="0">
      <items count="14">
        <item x="11"/>
        <item x="10"/>
        <item x="1"/>
        <item x="2"/>
        <item x="9"/>
        <item x="5"/>
        <item x="6"/>
        <item x="12"/>
        <item x="4"/>
        <item x="8"/>
        <item x="7"/>
        <item x="3"/>
        <item x="0"/>
        <item t="default"/>
      </items>
    </pivotField>
    <pivotField axis="axisRow" showAll="0">
      <items count="5">
        <item x="0"/>
        <item x="2"/>
        <item x="3"/>
        <item x="1"/>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MonthlySpend" fld="9" baseField="0" baseItem="0"/>
  </dataFields>
  <conditionalFormats count="1">
    <conditionalFormat priority="1">
      <pivotAreas count="1">
        <pivotArea type="data" collapsedLevelsAreSubtotals="1" fieldPosition="0">
          <references count="2">
            <reference field="4294967294" count="1" selected="0">
              <x v="0"/>
            </reference>
            <reference field="6"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43AAC7-DAC5-4671-BE2F-949E2396AA4E}" name="Total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G28" firstHeaderRow="0" firstDataRow="1" firstDataCol="0"/>
  <pivotFields count="16">
    <pivotField dataField="1" showAll="0"/>
    <pivotField showAll="0">
      <items count="145">
        <item x="122"/>
        <item x="35"/>
        <item x="100"/>
        <item x="44"/>
        <item x="39"/>
        <item x="80"/>
        <item x="23"/>
        <item x="74"/>
        <item x="30"/>
        <item x="21"/>
        <item x="36"/>
        <item x="78"/>
        <item x="45"/>
        <item x="25"/>
        <item x="71"/>
        <item x="43"/>
        <item x="106"/>
        <item x="125"/>
        <item x="38"/>
        <item x="27"/>
        <item x="58"/>
        <item x="59"/>
        <item x="98"/>
        <item x="89"/>
        <item x="15"/>
        <item x="130"/>
        <item x="1"/>
        <item x="132"/>
        <item x="135"/>
        <item x="126"/>
        <item x="84"/>
        <item x="138"/>
        <item x="49"/>
        <item x="124"/>
        <item x="32"/>
        <item x="6"/>
        <item x="142"/>
        <item x="97"/>
        <item x="101"/>
        <item x="3"/>
        <item x="99"/>
        <item x="2"/>
        <item x="63"/>
        <item x="51"/>
        <item x="117"/>
        <item x="112"/>
        <item x="121"/>
        <item x="110"/>
        <item x="91"/>
        <item x="66"/>
        <item x="20"/>
        <item x="120"/>
        <item x="18"/>
        <item x="82"/>
        <item x="83"/>
        <item x="134"/>
        <item x="111"/>
        <item x="34"/>
        <item x="92"/>
        <item x="65"/>
        <item x="7"/>
        <item x="133"/>
        <item x="67"/>
        <item x="42"/>
        <item x="14"/>
        <item x="11"/>
        <item x="13"/>
        <item x="72"/>
        <item x="40"/>
        <item x="79"/>
        <item x="61"/>
        <item x="22"/>
        <item x="95"/>
        <item x="48"/>
        <item x="136"/>
        <item x="88"/>
        <item x="50"/>
        <item x="129"/>
        <item x="90"/>
        <item x="52"/>
        <item x="37"/>
        <item x="9"/>
        <item x="19"/>
        <item x="102"/>
        <item x="139"/>
        <item x="12"/>
        <item x="86"/>
        <item x="140"/>
        <item x="41"/>
        <item x="57"/>
        <item x="116"/>
        <item x="26"/>
        <item x="127"/>
        <item x="24"/>
        <item x="123"/>
        <item x="70"/>
        <item x="73"/>
        <item x="53"/>
        <item x="5"/>
        <item x="54"/>
        <item x="103"/>
        <item x="28"/>
        <item x="109"/>
        <item x="128"/>
        <item x="68"/>
        <item x="114"/>
        <item x="16"/>
        <item x="131"/>
        <item x="119"/>
        <item x="62"/>
        <item x="56"/>
        <item x="29"/>
        <item x="33"/>
        <item x="137"/>
        <item x="31"/>
        <item x="64"/>
        <item x="143"/>
        <item x="69"/>
        <item x="47"/>
        <item x="17"/>
        <item x="94"/>
        <item x="76"/>
        <item x="108"/>
        <item x="10"/>
        <item x="107"/>
        <item x="93"/>
        <item x="77"/>
        <item x="118"/>
        <item x="113"/>
        <item x="81"/>
        <item x="85"/>
        <item x="55"/>
        <item x="96"/>
        <item x="8"/>
        <item x="4"/>
        <item x="141"/>
        <item x="87"/>
        <item x="115"/>
        <item x="46"/>
        <item x="105"/>
        <item x="75"/>
        <item x="60"/>
        <item x="104"/>
        <item x="0"/>
        <item t="default"/>
      </items>
    </pivotField>
    <pivotField showAll="0"/>
    <pivotField showAll="0"/>
    <pivotField showAll="0"/>
    <pivotField showAll="0">
      <items count="14">
        <item x="11"/>
        <item x="10"/>
        <item x="1"/>
        <item x="2"/>
        <item x="9"/>
        <item x="5"/>
        <item x="6"/>
        <item x="12"/>
        <item x="4"/>
        <item x="8"/>
        <item x="7"/>
        <item x="3"/>
        <item x="0"/>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Count of CustomerID" fld="0" subtotal="count" baseField="0" baseItem="0"/>
    <dataField name="Average of WatchTimeHours" fld="11" subtotal="average" baseField="0" baseItem="1" numFmtId="2"/>
    <dataField name="Sum of totalchurn_pct" fld="15" baseField="0" baseItem="1" numFmtId="10"/>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55B84F-3A2C-4D82-B966-8E0695673EDA}" name="age_spent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19:G25" firstHeaderRow="0" firstDataRow="1" firstDataCol="1"/>
  <pivotFields count="16">
    <pivotField showAll="0"/>
    <pivotField showAll="0">
      <items count="145">
        <item x="122"/>
        <item x="35"/>
        <item x="100"/>
        <item x="44"/>
        <item x="39"/>
        <item x="80"/>
        <item x="23"/>
        <item x="74"/>
        <item x="30"/>
        <item x="21"/>
        <item x="36"/>
        <item x="78"/>
        <item x="45"/>
        <item x="25"/>
        <item x="71"/>
        <item x="43"/>
        <item x="106"/>
        <item x="125"/>
        <item x="38"/>
        <item x="27"/>
        <item x="58"/>
        <item x="59"/>
        <item x="98"/>
        <item x="89"/>
        <item x="15"/>
        <item x="130"/>
        <item x="1"/>
        <item x="132"/>
        <item x="135"/>
        <item x="126"/>
        <item x="84"/>
        <item x="138"/>
        <item x="49"/>
        <item x="124"/>
        <item x="32"/>
        <item x="6"/>
        <item x="142"/>
        <item x="97"/>
        <item x="101"/>
        <item x="3"/>
        <item x="99"/>
        <item x="2"/>
        <item x="63"/>
        <item x="51"/>
        <item x="117"/>
        <item x="112"/>
        <item x="121"/>
        <item x="110"/>
        <item x="91"/>
        <item x="66"/>
        <item x="20"/>
        <item x="120"/>
        <item x="18"/>
        <item x="82"/>
        <item x="83"/>
        <item x="134"/>
        <item x="111"/>
        <item x="34"/>
        <item x="92"/>
        <item x="65"/>
        <item x="7"/>
        <item x="133"/>
        <item x="67"/>
        <item x="42"/>
        <item x="14"/>
        <item x="11"/>
        <item x="13"/>
        <item x="72"/>
        <item x="40"/>
        <item x="79"/>
        <item x="61"/>
        <item x="22"/>
        <item x="95"/>
        <item x="48"/>
        <item x="136"/>
        <item x="88"/>
        <item x="50"/>
        <item x="129"/>
        <item x="90"/>
        <item x="52"/>
        <item x="37"/>
        <item x="9"/>
        <item x="19"/>
        <item x="102"/>
        <item x="139"/>
        <item x="12"/>
        <item x="86"/>
        <item x="140"/>
        <item x="41"/>
        <item x="57"/>
        <item x="116"/>
        <item x="26"/>
        <item x="127"/>
        <item x="24"/>
        <item x="123"/>
        <item x="70"/>
        <item x="73"/>
        <item x="53"/>
        <item x="5"/>
        <item x="54"/>
        <item x="103"/>
        <item x="28"/>
        <item x="109"/>
        <item x="128"/>
        <item x="68"/>
        <item x="114"/>
        <item x="16"/>
        <item x="131"/>
        <item x="119"/>
        <item x="62"/>
        <item x="56"/>
        <item x="29"/>
        <item x="33"/>
        <item x="137"/>
        <item x="31"/>
        <item x="64"/>
        <item x="143"/>
        <item x="69"/>
        <item x="47"/>
        <item x="17"/>
        <item x="94"/>
        <item x="76"/>
        <item x="108"/>
        <item x="10"/>
        <item x="107"/>
        <item x="93"/>
        <item x="77"/>
        <item x="118"/>
        <item x="113"/>
        <item x="81"/>
        <item x="85"/>
        <item x="55"/>
        <item x="96"/>
        <item x="8"/>
        <item x="4"/>
        <item x="141"/>
        <item x="87"/>
        <item x="115"/>
        <item x="46"/>
        <item x="105"/>
        <item x="75"/>
        <item x="60"/>
        <item x="104"/>
        <item x="0"/>
        <item t="default"/>
      </items>
    </pivotField>
    <pivotField showAll="0"/>
    <pivotField showAll="0">
      <items count="14">
        <item x="11"/>
        <item x="10"/>
        <item x="1"/>
        <item x="2"/>
        <item x="9"/>
        <item x="5"/>
        <item x="6"/>
        <item x="12"/>
        <item x="4"/>
        <item x="8"/>
        <item x="7"/>
        <item x="3"/>
        <item x="0"/>
        <item t="default"/>
      </items>
    </pivotField>
    <pivotField showAll="0"/>
    <pivotField showAll="0">
      <items count="14">
        <item x="11"/>
        <item x="10"/>
        <item x="1"/>
        <item x="2"/>
        <item x="9"/>
        <item x="5"/>
        <item x="6"/>
        <item x="12"/>
        <item x="4"/>
        <item x="8"/>
        <item x="7"/>
        <item x="3"/>
        <item x="0"/>
        <item t="default"/>
      </items>
    </pivotField>
    <pivotField showAll="0"/>
    <pivotField showAll="0"/>
    <pivotField axis="axisRow" showAll="0">
      <items count="6">
        <item x="4"/>
        <item x="3"/>
        <item x="0"/>
        <item x="2"/>
        <item x="1"/>
        <item t="default"/>
      </items>
    </pivotField>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2"/>
  </colFields>
  <colItems count="2">
    <i>
      <x/>
    </i>
    <i i="1">
      <x v="1"/>
    </i>
  </colItems>
  <dataFields count="2">
    <dataField name="Avg Watchtime" fld="11" subtotal="average" baseField="4" baseItem="2" numFmtId="2"/>
    <dataField name="Churn Rate %" fld="10" showDataAs="percentOfTotal" baseField="4" baseItem="0" numFmtId="10"/>
  </dataFields>
  <formats count="2">
    <format dxfId="2">
      <pivotArea collapsedLevelsAreSubtotals="1" fieldPosition="0">
        <references count="2">
          <reference field="4294967294" count="1" selected="0">
            <x v="0"/>
          </reference>
          <reference field="8" count="1">
            <x v="1"/>
          </reference>
        </references>
      </pivotArea>
    </format>
    <format dxfId="1">
      <pivotArea outline="0" fieldPosition="0">
        <references count="1">
          <reference field="4294967294" count="1">
            <x v="0"/>
          </reference>
        </references>
      </pivotArea>
    </format>
  </formats>
  <conditionalFormats count="2">
    <conditionalFormat priority="8">
      <pivotAreas count="1">
        <pivotArea type="data" collapsedLevelsAreSubtotals="1" fieldPosition="0">
          <references count="2">
            <reference field="4294967294" count="1" selected="0">
              <x v="1"/>
            </reference>
            <reference field="8" count="5">
              <x v="0"/>
              <x v="1"/>
              <x v="2"/>
              <x v="3"/>
              <x v="4"/>
            </reference>
          </references>
        </pivotArea>
      </pivotAreas>
    </conditionalFormat>
    <conditionalFormat priority="5">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4">
    <chartFormat chart="18" format="15"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1"/>
          </reference>
        </references>
      </pivotArea>
    </chartFormat>
    <chartFormat chart="18" format="17">
      <pivotArea type="data" outline="0" fieldPosition="0">
        <references count="2">
          <reference field="4294967294" count="1" selected="0">
            <x v="1"/>
          </reference>
          <reference field="8" count="1" selected="0">
            <x v="2"/>
          </reference>
        </references>
      </pivotArea>
    </chartFormat>
    <chartFormat chart="18" format="18">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1ADFCF-4E5B-4C04-9757-D79FA29CFE6D}" name="age_watch_c-pc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E11:F17" firstHeaderRow="1" firstDataRow="1" firstDataCol="1"/>
  <pivotFields count="16">
    <pivotField showAll="0"/>
    <pivotField showAll="0">
      <items count="145">
        <item x="122"/>
        <item x="35"/>
        <item x="100"/>
        <item x="44"/>
        <item x="39"/>
        <item x="80"/>
        <item x="23"/>
        <item x="74"/>
        <item x="30"/>
        <item x="21"/>
        <item x="36"/>
        <item x="78"/>
        <item x="45"/>
        <item x="25"/>
        <item x="71"/>
        <item x="43"/>
        <item x="106"/>
        <item x="125"/>
        <item x="38"/>
        <item x="27"/>
        <item x="58"/>
        <item x="59"/>
        <item x="98"/>
        <item x="89"/>
        <item x="15"/>
        <item x="130"/>
        <item x="1"/>
        <item x="132"/>
        <item x="135"/>
        <item x="126"/>
        <item x="84"/>
        <item x="138"/>
        <item x="49"/>
        <item x="124"/>
        <item x="32"/>
        <item x="6"/>
        <item x="142"/>
        <item x="97"/>
        <item x="101"/>
        <item x="3"/>
        <item x="99"/>
        <item x="2"/>
        <item x="63"/>
        <item x="51"/>
        <item x="117"/>
        <item x="112"/>
        <item x="121"/>
        <item x="110"/>
        <item x="91"/>
        <item x="66"/>
        <item x="20"/>
        <item x="120"/>
        <item x="18"/>
        <item x="82"/>
        <item x="83"/>
        <item x="134"/>
        <item x="111"/>
        <item x="34"/>
        <item x="92"/>
        <item x="65"/>
        <item x="7"/>
        <item x="133"/>
        <item x="67"/>
        <item x="42"/>
        <item x="14"/>
        <item x="11"/>
        <item x="13"/>
        <item x="72"/>
        <item x="40"/>
        <item x="79"/>
        <item x="61"/>
        <item x="22"/>
        <item x="95"/>
        <item x="48"/>
        <item x="136"/>
        <item x="88"/>
        <item x="50"/>
        <item x="129"/>
        <item x="90"/>
        <item x="52"/>
        <item x="37"/>
        <item x="9"/>
        <item x="19"/>
        <item x="102"/>
        <item x="139"/>
        <item x="12"/>
        <item x="86"/>
        <item x="140"/>
        <item x="41"/>
        <item x="57"/>
        <item x="116"/>
        <item x="26"/>
        <item x="127"/>
        <item x="24"/>
        <item x="123"/>
        <item x="70"/>
        <item x="73"/>
        <item x="53"/>
        <item x="5"/>
        <item x="54"/>
        <item x="103"/>
        <item x="28"/>
        <item x="109"/>
        <item x="128"/>
        <item x="68"/>
        <item x="114"/>
        <item x="16"/>
        <item x="131"/>
        <item x="119"/>
        <item x="62"/>
        <item x="56"/>
        <item x="29"/>
        <item x="33"/>
        <item x="137"/>
        <item x="31"/>
        <item x="64"/>
        <item x="143"/>
        <item x="69"/>
        <item x="47"/>
        <item x="17"/>
        <item x="94"/>
        <item x="76"/>
        <item x="108"/>
        <item x="10"/>
        <item x="107"/>
        <item x="93"/>
        <item x="77"/>
        <item x="118"/>
        <item x="113"/>
        <item x="81"/>
        <item x="85"/>
        <item x="55"/>
        <item x="96"/>
        <item x="8"/>
        <item x="4"/>
        <item x="141"/>
        <item x="87"/>
        <item x="115"/>
        <item x="46"/>
        <item x="105"/>
        <item x="75"/>
        <item x="60"/>
        <item x="104"/>
        <item x="0"/>
        <item t="default"/>
      </items>
    </pivotField>
    <pivotField showAll="0"/>
    <pivotField showAll="0"/>
    <pivotField showAll="0"/>
    <pivotField showAll="0">
      <items count="14">
        <item x="11"/>
        <item x="10"/>
        <item x="1"/>
        <item x="2"/>
        <item x="9"/>
        <item x="5"/>
        <item x="6"/>
        <item x="12"/>
        <item x="4"/>
        <item x="8"/>
        <item x="7"/>
        <item x="3"/>
        <item x="0"/>
        <item t="default"/>
      </items>
    </pivotField>
    <pivotField showAll="0"/>
    <pivotField showAll="0"/>
    <pivotField axis="axisRow" showAll="0" sortType="ascending">
      <items count="6">
        <item x="3"/>
        <item x="2"/>
        <item x="1"/>
        <item x="0"/>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8"/>
  </rowFields>
  <rowItems count="6">
    <i>
      <x v="4"/>
    </i>
    <i>
      <x v="1"/>
    </i>
    <i>
      <x/>
    </i>
    <i>
      <x v="2"/>
    </i>
    <i>
      <x v="3"/>
    </i>
    <i t="grand">
      <x/>
    </i>
  </rowItems>
  <colItems count="1">
    <i/>
  </colItems>
  <dataFields count="1">
    <dataField name="Sum of MonthlySpend" fld="9" baseField="0" baseItem="0"/>
  </dataFields>
  <formats count="1">
    <format dxfId="3">
      <pivotArea collapsedLevelsAreSubtotals="1" fieldPosition="0">
        <references count="1">
          <reference field="8" count="0"/>
        </references>
      </pivotArea>
    </format>
  </formats>
  <conditionalFormats count="1">
    <conditionalFormat priority="4">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C09E93-90A9-4FFF-8ABA-B5C187F58946}" name="avg_spend_churn_p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G8" firstHeaderRow="0" firstDataRow="1" firstDataCol="1"/>
  <pivotFields count="16">
    <pivotField showAll="0"/>
    <pivotField showAll="0">
      <items count="145">
        <item x="122"/>
        <item x="35"/>
        <item x="100"/>
        <item x="44"/>
        <item x="39"/>
        <item x="80"/>
        <item x="23"/>
        <item x="74"/>
        <item x="30"/>
        <item x="21"/>
        <item x="36"/>
        <item x="78"/>
        <item x="45"/>
        <item x="25"/>
        <item x="71"/>
        <item x="43"/>
        <item x="106"/>
        <item x="125"/>
        <item x="38"/>
        <item x="27"/>
        <item x="58"/>
        <item x="59"/>
        <item x="98"/>
        <item x="89"/>
        <item x="15"/>
        <item x="130"/>
        <item x="1"/>
        <item x="132"/>
        <item x="135"/>
        <item x="126"/>
        <item x="84"/>
        <item x="138"/>
        <item x="49"/>
        <item x="124"/>
        <item x="32"/>
        <item x="6"/>
        <item x="142"/>
        <item x="97"/>
        <item x="101"/>
        <item x="3"/>
        <item x="99"/>
        <item x="2"/>
        <item x="63"/>
        <item x="51"/>
        <item x="117"/>
        <item x="112"/>
        <item x="121"/>
        <item x="110"/>
        <item x="91"/>
        <item x="66"/>
        <item x="20"/>
        <item x="120"/>
        <item x="18"/>
        <item x="82"/>
        <item x="83"/>
        <item x="134"/>
        <item x="111"/>
        <item x="34"/>
        <item x="92"/>
        <item x="65"/>
        <item x="7"/>
        <item x="133"/>
        <item x="67"/>
        <item x="42"/>
        <item x="14"/>
        <item x="11"/>
        <item x="13"/>
        <item x="72"/>
        <item x="40"/>
        <item x="79"/>
        <item x="61"/>
        <item x="22"/>
        <item x="95"/>
        <item x="48"/>
        <item x="136"/>
        <item x="88"/>
        <item x="50"/>
        <item x="129"/>
        <item x="90"/>
        <item x="52"/>
        <item x="37"/>
        <item x="9"/>
        <item x="19"/>
        <item x="102"/>
        <item x="139"/>
        <item x="12"/>
        <item x="86"/>
        <item x="140"/>
        <item x="41"/>
        <item x="57"/>
        <item x="116"/>
        <item x="26"/>
        <item x="127"/>
        <item x="24"/>
        <item x="123"/>
        <item x="70"/>
        <item x="73"/>
        <item x="53"/>
        <item x="5"/>
        <item x="54"/>
        <item x="103"/>
        <item x="28"/>
        <item x="109"/>
        <item x="128"/>
        <item x="68"/>
        <item x="114"/>
        <item x="16"/>
        <item x="131"/>
        <item x="119"/>
        <item x="62"/>
        <item x="56"/>
        <item x="29"/>
        <item x="33"/>
        <item x="137"/>
        <item x="31"/>
        <item x="64"/>
        <item x="143"/>
        <item x="69"/>
        <item x="47"/>
        <item x="17"/>
        <item x="94"/>
        <item x="76"/>
        <item x="108"/>
        <item x="10"/>
        <item x="107"/>
        <item x="93"/>
        <item x="77"/>
        <item x="118"/>
        <item x="113"/>
        <item x="81"/>
        <item x="85"/>
        <item x="55"/>
        <item x="96"/>
        <item x="8"/>
        <item x="4"/>
        <item x="141"/>
        <item x="87"/>
        <item x="115"/>
        <item x="46"/>
        <item x="105"/>
        <item x="75"/>
        <item x="60"/>
        <item x="104"/>
        <item x="0"/>
        <item t="default"/>
      </items>
    </pivotField>
    <pivotField showAll="0"/>
    <pivotField showAll="0"/>
    <pivotField showAll="0"/>
    <pivotField showAll="0">
      <items count="14">
        <item x="11"/>
        <item x="10"/>
        <item x="1"/>
        <item x="2"/>
        <item x="9"/>
        <item x="5"/>
        <item x="6"/>
        <item x="12"/>
        <item x="4"/>
        <item x="8"/>
        <item x="7"/>
        <item x="3"/>
        <item x="0"/>
        <item t="default"/>
      </items>
    </pivotField>
    <pivotField axis="axisRow" showAll="0">
      <items count="5">
        <item x="0"/>
        <item x="2"/>
        <item x="3"/>
        <item x="1"/>
        <item t="default"/>
      </items>
    </pivotField>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6"/>
  </rowFields>
  <rowItems count="5">
    <i>
      <x/>
    </i>
    <i>
      <x v="1"/>
    </i>
    <i>
      <x v="2"/>
    </i>
    <i>
      <x v="3"/>
    </i>
    <i t="grand">
      <x/>
    </i>
  </rowItems>
  <colFields count="1">
    <field x="-2"/>
  </colFields>
  <colItems count="2">
    <i>
      <x/>
    </i>
    <i i="1">
      <x v="1"/>
    </i>
  </colItems>
  <dataFields count="2">
    <dataField name="Average Spending" fld="9" subtotal="average" baseField="2" baseItem="0" numFmtId="2"/>
    <dataField name="Churn Rate %" fld="10" showDataAs="percentOfTotal" baseField="2" baseItem="0" numFmtId="10"/>
  </dataFields>
  <formats count="1">
    <format dxfId="4">
      <pivotArea outline="0" collapsedLevelsAreSubtotals="1" fieldPosition="0">
        <references count="1">
          <reference field="4294967294" count="1" selected="0">
            <x v="0"/>
          </reference>
        </references>
      </pivotArea>
    </format>
  </formats>
  <conditionalFormats count="2">
    <conditionalFormat priority="11">
      <pivotAreas count="1">
        <pivotArea type="data" collapsedLevelsAreSubtotals="1" fieldPosition="0">
          <references count="2">
            <reference field="4294967294" count="1" selected="0">
              <x v="0"/>
            </reference>
            <reference field="6" count="4">
              <x v="0"/>
              <x v="1"/>
              <x v="2"/>
              <x v="3"/>
            </reference>
          </references>
        </pivotArea>
      </pivotAreas>
    </conditionalFormat>
    <conditionalFormat priority="3">
      <pivotAreas count="1">
        <pivotArea type="data" collapsedLevelsAreSubtotals="1" fieldPosition="0">
          <references count="2">
            <reference field="4294967294" count="1" selected="0">
              <x v="1"/>
            </reference>
            <reference field="6" count="4">
              <x v="0"/>
              <x v="1"/>
              <x v="2"/>
              <x v="3"/>
            </reference>
          </references>
        </pivotArea>
      </pivotAreas>
    </conditionalFormat>
  </conditional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E308FE-D2A1-48D0-82E1-2B8B414D3701}" autoFormatId="16" applyNumberFormats="0" applyBorderFormats="0" applyFontFormats="0" applyPatternFormats="0" applyAlignmentFormats="0" applyWidthHeightFormats="0">
  <queryTableRefresh nextId="20">
    <queryTableFields count="12">
      <queryTableField id="1" name="CustomerID" tableColumnId="1"/>
      <queryTableField id="2" name="SignupDate" tableColumnId="2"/>
      <queryTableField id="12" name="Day" tableColumnId="11"/>
      <queryTableField id="11" name="Month" tableColumnId="10"/>
      <queryTableField id="10" name="Year" tableColumnId="9"/>
      <queryTableField id="16" name="Month Name" tableColumnId="12"/>
      <queryTableField id="3" name="Country" tableColumnId="3"/>
      <queryTableField id="4" name="Age" tableColumnId="4"/>
      <queryTableField id="8" name="age_bracket" tableColumnId="8"/>
      <queryTableField id="5" name="MonthlySpend" tableColumnId="5"/>
      <queryTableField id="6" name="Churned" tableColumnId="6"/>
      <queryTableField id="7" name="WatchTimeHour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775F31A-0E9E-46F7-9DEC-E56C7C96D1B9}" sourceName="Month Name">
  <pivotTables>
    <pivotTable tabId="1" name="age_spent_month"/>
    <pivotTable tabId="1" name="age_watch_c-pct"/>
    <pivotTable tabId="1" name="avg_spend_churn_pct"/>
    <pivotTable tabId="1" name="country_monthly"/>
    <pivotTable tabId="1" name="TotalCustomer"/>
  </pivotTables>
  <data>
    <tabular pivotCacheId="1393717499" crossFilter="none">
      <items count="13">
        <i x="11" s="1"/>
        <i x="10" s="1"/>
        <i x="1" s="1"/>
        <i x="2" s="1"/>
        <i x="9" s="1"/>
        <i x="5" s="1"/>
        <i x="6" s="1"/>
        <i x="12" s="1"/>
        <i x="4" s="1"/>
        <i x="8" s="1"/>
        <i x="7"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173640FB-7076-4346-860C-21004A811E20}" cache="Slicer_Month_Name" caption="Month Name" columnCoun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B0E76-6F73-4B79-8891-46B6BA8BB824}" name="raw_data_clean_2" displayName="raw_data_clean_2" ref="A1:L179" tableType="queryTable" totalsRowShown="0">
  <autoFilter ref="A1:L179" xr:uid="{C1EB0E76-6F73-4B79-8891-46B6BA8BB824}"/>
  <tableColumns count="12">
    <tableColumn id="1" xr3:uid="{F3F7C1A8-C8FB-44D6-91DF-DD00F6C49642}" uniqueName="1" name="CustomerID" queryTableFieldId="1" dataDxfId="8"/>
    <tableColumn id="2" xr3:uid="{2AA0BF94-E89C-4544-B136-0A3957FEC984}" uniqueName="2" name="SignupDate" queryTableFieldId="2" dataDxfId="7"/>
    <tableColumn id="11" xr3:uid="{23497B8E-DD0F-4FAE-97BA-C7F4B692F790}" uniqueName="11" name="Day" queryTableFieldId="12"/>
    <tableColumn id="10" xr3:uid="{6BFE4B11-33B7-4A6A-894F-6D5DBF8D5136}" uniqueName="10" name="Month" queryTableFieldId="11"/>
    <tableColumn id="9" xr3:uid="{4D7C0FE8-4334-4B58-A20A-D826B223DE8F}" uniqueName="9" name="Year" queryTableFieldId="10"/>
    <tableColumn id="12" xr3:uid="{4AE0A5F0-1BC9-4CBC-BDBD-6F9149C1BE0F}" uniqueName="12" name="Month Name" queryTableFieldId="16" dataDxfId="6"/>
    <tableColumn id="3" xr3:uid="{20B198F7-BA64-41C0-930D-609FE3D68AF5}" uniqueName="3" name="Country" queryTableFieldId="3" dataDxfId="5"/>
    <tableColumn id="4" xr3:uid="{ABCC596B-182F-41E3-8514-569350764E63}" uniqueName="4" name="Age" queryTableFieldId="4"/>
    <tableColumn id="8" xr3:uid="{1A93F205-02FD-4E7C-95C0-84B2C8EF48F0}" uniqueName="8" name="age_bracket" queryTableFieldId="8"/>
    <tableColumn id="5" xr3:uid="{6C6DE629-E99F-453F-941F-B8C2428FAE1C}" uniqueName="5" name="MonthlySpend" queryTableFieldId="5"/>
    <tableColumn id="6" xr3:uid="{9B54E48C-1BA3-4BD1-9DC8-C72EBF995872}" uniqueName="6" name="Churned" queryTableFieldId="6"/>
    <tableColumn id="7" xr3:uid="{B8753E9C-8922-4300-A2BC-7459CA3C054D}" uniqueName="7" name="WatchTimeHour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7EC1-021B-4538-A3D2-2DFA82BE40F6}">
  <dimension ref="A1:O179"/>
  <sheetViews>
    <sheetView workbookViewId="0">
      <selection activeCell="F15" sqref="F15"/>
    </sheetView>
  </sheetViews>
  <sheetFormatPr defaultRowHeight="14.4" x14ac:dyDescent="0.3"/>
  <cols>
    <col min="1" max="1" width="13.109375" bestFit="1" customWidth="1"/>
    <col min="2" max="2" width="12.77734375" style="1" bestFit="1" customWidth="1"/>
    <col min="3" max="3" width="6.33203125" bestFit="1" customWidth="1"/>
    <col min="4" max="4" width="8.33203125" bestFit="1" customWidth="1"/>
    <col min="5" max="5" width="6.88671875" bestFit="1" customWidth="1"/>
    <col min="6" max="6" width="13.6640625" bestFit="1" customWidth="1"/>
    <col min="7" max="7" width="9.77734375" bestFit="1" customWidth="1"/>
    <col min="8" max="8" width="6.21875" bestFit="1" customWidth="1"/>
    <col min="9" max="9" width="28.33203125" bestFit="1" customWidth="1"/>
    <col min="10" max="10" width="15.109375" bestFit="1" customWidth="1"/>
    <col min="11" max="11" width="10.21875" bestFit="1" customWidth="1"/>
    <col min="12" max="12" width="17.6640625" customWidth="1"/>
  </cols>
  <sheetData>
    <row r="1" spans="1:15" x14ac:dyDescent="0.3">
      <c r="A1" t="s">
        <v>0</v>
      </c>
      <c r="B1" s="1" t="s">
        <v>1</v>
      </c>
      <c r="C1" t="s">
        <v>221</v>
      </c>
      <c r="D1" t="s">
        <v>220</v>
      </c>
      <c r="E1" t="s">
        <v>219</v>
      </c>
      <c r="F1" t="s">
        <v>223</v>
      </c>
      <c r="G1" t="s">
        <v>2</v>
      </c>
      <c r="H1" t="s">
        <v>3</v>
      </c>
      <c r="I1" t="s">
        <v>205</v>
      </c>
      <c r="J1" t="s">
        <v>4</v>
      </c>
      <c r="K1" t="s">
        <v>5</v>
      </c>
      <c r="L1" t="s">
        <v>6</v>
      </c>
    </row>
    <row r="2" spans="1:15" x14ac:dyDescent="0.3">
      <c r="A2" t="s">
        <v>7</v>
      </c>
      <c r="G2" t="s">
        <v>8</v>
      </c>
      <c r="H2">
        <v>42</v>
      </c>
      <c r="I2" t="s">
        <v>206</v>
      </c>
      <c r="J2">
        <v>2139.17</v>
      </c>
      <c r="K2">
        <v>0</v>
      </c>
      <c r="L2">
        <v>10.84</v>
      </c>
    </row>
    <row r="3" spans="1:15" x14ac:dyDescent="0.3">
      <c r="A3" t="s">
        <v>9</v>
      </c>
      <c r="B3" s="1">
        <v>45001</v>
      </c>
      <c r="C3">
        <v>16</v>
      </c>
      <c r="D3">
        <v>3</v>
      </c>
      <c r="E3">
        <v>2023</v>
      </c>
      <c r="F3" t="s">
        <v>224</v>
      </c>
      <c r="G3" t="s">
        <v>8</v>
      </c>
      <c r="H3">
        <v>57</v>
      </c>
      <c r="I3" t="s">
        <v>207</v>
      </c>
      <c r="J3">
        <v>2726.3</v>
      </c>
      <c r="K3">
        <v>1</v>
      </c>
      <c r="L3">
        <v>9.06</v>
      </c>
      <c r="N3">
        <f>SUM(raw_data_clean_2[Churned])</f>
        <v>54</v>
      </c>
      <c r="O3">
        <f>COUNTA(raw_data_clean_2[CustomerID])</f>
        <v>178</v>
      </c>
    </row>
    <row r="4" spans="1:15" x14ac:dyDescent="0.3">
      <c r="A4" t="s">
        <v>10</v>
      </c>
      <c r="B4" s="1">
        <v>45039</v>
      </c>
      <c r="C4">
        <v>23</v>
      </c>
      <c r="D4">
        <v>4</v>
      </c>
      <c r="E4">
        <v>2023</v>
      </c>
      <c r="F4" t="s">
        <v>225</v>
      </c>
      <c r="G4" t="s">
        <v>11</v>
      </c>
      <c r="H4">
        <v>49</v>
      </c>
      <c r="I4" t="s">
        <v>208</v>
      </c>
      <c r="J4">
        <v>1992.97</v>
      </c>
      <c r="K4">
        <v>0</v>
      </c>
      <c r="L4">
        <v>10.63</v>
      </c>
      <c r="O4">
        <f>N3/O3*100</f>
        <v>30.337078651685395</v>
      </c>
    </row>
    <row r="5" spans="1:15" x14ac:dyDescent="0.3">
      <c r="A5" t="s">
        <v>12</v>
      </c>
      <c r="B5" s="1">
        <v>45030</v>
      </c>
      <c r="C5">
        <v>14</v>
      </c>
      <c r="D5">
        <v>4</v>
      </c>
      <c r="E5">
        <v>2023</v>
      </c>
      <c r="F5" t="s">
        <v>225</v>
      </c>
      <c r="G5" t="s">
        <v>11</v>
      </c>
      <c r="H5">
        <v>51</v>
      </c>
      <c r="I5" t="s">
        <v>208</v>
      </c>
      <c r="J5">
        <v>2361.13</v>
      </c>
      <c r="K5">
        <v>0</v>
      </c>
      <c r="L5">
        <v>11.15</v>
      </c>
    </row>
    <row r="6" spans="1:15" x14ac:dyDescent="0.3">
      <c r="A6" t="s">
        <v>13</v>
      </c>
      <c r="B6" s="1">
        <v>45266</v>
      </c>
      <c r="C6">
        <v>6</v>
      </c>
      <c r="D6">
        <v>12</v>
      </c>
      <c r="E6">
        <v>2023</v>
      </c>
      <c r="F6" t="s">
        <v>226</v>
      </c>
      <c r="G6" t="s">
        <v>8</v>
      </c>
      <c r="H6">
        <v>45</v>
      </c>
      <c r="I6" t="s">
        <v>208</v>
      </c>
      <c r="J6">
        <v>2652.68</v>
      </c>
      <c r="K6">
        <v>0</v>
      </c>
      <c r="L6">
        <v>5.17</v>
      </c>
    </row>
    <row r="7" spans="1:15" x14ac:dyDescent="0.3">
      <c r="A7" t="s">
        <v>14</v>
      </c>
      <c r="B7" s="1">
        <v>45180</v>
      </c>
      <c r="C7">
        <v>11</v>
      </c>
      <c r="D7">
        <v>9</v>
      </c>
      <c r="E7">
        <v>2023</v>
      </c>
      <c r="F7" t="s">
        <v>227</v>
      </c>
      <c r="G7" t="s">
        <v>8</v>
      </c>
      <c r="H7">
        <v>48</v>
      </c>
      <c r="I7" t="s">
        <v>208</v>
      </c>
      <c r="J7">
        <v>2453.4</v>
      </c>
      <c r="K7">
        <v>0</v>
      </c>
      <c r="L7">
        <v>5.73</v>
      </c>
    </row>
    <row r="8" spans="1:15" x14ac:dyDescent="0.3">
      <c r="A8" t="s">
        <v>15</v>
      </c>
      <c r="G8" t="s">
        <v>11</v>
      </c>
      <c r="H8">
        <v>56</v>
      </c>
      <c r="I8" t="s">
        <v>207</v>
      </c>
      <c r="J8">
        <v>3426.49</v>
      </c>
      <c r="K8">
        <v>0</v>
      </c>
      <c r="L8">
        <v>6.85</v>
      </c>
    </row>
    <row r="9" spans="1:15" x14ac:dyDescent="0.3">
      <c r="A9" t="s">
        <v>16</v>
      </c>
      <c r="B9" s="1">
        <v>45025</v>
      </c>
      <c r="C9">
        <v>9</v>
      </c>
      <c r="D9">
        <v>4</v>
      </c>
      <c r="E9">
        <v>2023</v>
      </c>
      <c r="F9" t="s">
        <v>225</v>
      </c>
      <c r="G9" t="s">
        <v>17</v>
      </c>
      <c r="H9">
        <v>43</v>
      </c>
      <c r="I9" t="s">
        <v>206</v>
      </c>
      <c r="J9">
        <v>2993.58</v>
      </c>
      <c r="K9">
        <v>0</v>
      </c>
      <c r="L9">
        <v>14.54</v>
      </c>
    </row>
    <row r="10" spans="1:15" x14ac:dyDescent="0.3">
      <c r="A10" t="s">
        <v>18</v>
      </c>
      <c r="B10" s="1">
        <v>45079</v>
      </c>
      <c r="C10">
        <v>2</v>
      </c>
      <c r="D10">
        <v>6</v>
      </c>
      <c r="E10">
        <v>2023</v>
      </c>
      <c r="F10" t="s">
        <v>228</v>
      </c>
      <c r="G10" t="s">
        <v>11</v>
      </c>
      <c r="H10">
        <v>51</v>
      </c>
      <c r="I10" t="s">
        <v>208</v>
      </c>
      <c r="J10">
        <v>2133.5650000000001</v>
      </c>
      <c r="K10">
        <v>0</v>
      </c>
      <c r="L10">
        <v>10.84</v>
      </c>
    </row>
    <row r="11" spans="1:15" x14ac:dyDescent="0.3">
      <c r="A11" t="s">
        <v>19</v>
      </c>
      <c r="B11" s="1">
        <v>45264</v>
      </c>
      <c r="C11">
        <v>4</v>
      </c>
      <c r="D11">
        <v>12</v>
      </c>
      <c r="E11">
        <v>2023</v>
      </c>
      <c r="F11" t="s">
        <v>226</v>
      </c>
      <c r="G11" t="s">
        <v>8</v>
      </c>
      <c r="H11">
        <v>42</v>
      </c>
      <c r="I11" t="s">
        <v>206</v>
      </c>
      <c r="J11">
        <v>2510.9</v>
      </c>
      <c r="K11">
        <v>0</v>
      </c>
      <c r="L11">
        <v>14.1</v>
      </c>
    </row>
    <row r="12" spans="1:15" x14ac:dyDescent="0.3">
      <c r="A12" t="s">
        <v>20</v>
      </c>
      <c r="B12" s="1">
        <v>45120</v>
      </c>
      <c r="C12">
        <v>13</v>
      </c>
      <c r="D12">
        <v>7</v>
      </c>
      <c r="E12">
        <v>2023</v>
      </c>
      <c r="F12" t="s">
        <v>229</v>
      </c>
      <c r="G12" t="s">
        <v>11</v>
      </c>
      <c r="H12">
        <v>29</v>
      </c>
      <c r="I12" t="s">
        <v>209</v>
      </c>
      <c r="J12">
        <v>2172.69</v>
      </c>
      <c r="K12">
        <v>0</v>
      </c>
      <c r="L12">
        <v>15.52</v>
      </c>
    </row>
    <row r="13" spans="1:15" x14ac:dyDescent="0.3">
      <c r="A13" t="s">
        <v>21</v>
      </c>
      <c r="B13" s="1">
        <v>45236</v>
      </c>
      <c r="C13">
        <v>6</v>
      </c>
      <c r="D13">
        <v>11</v>
      </c>
      <c r="E13">
        <v>2023</v>
      </c>
      <c r="F13" t="s">
        <v>230</v>
      </c>
      <c r="G13" t="s">
        <v>8</v>
      </c>
      <c r="H13">
        <v>18</v>
      </c>
      <c r="I13" t="s">
        <v>210</v>
      </c>
      <c r="J13">
        <v>2133.5650000000001</v>
      </c>
      <c r="K13">
        <v>1</v>
      </c>
      <c r="L13">
        <v>10.66</v>
      </c>
    </row>
    <row r="14" spans="1:15" x14ac:dyDescent="0.3">
      <c r="A14" t="s">
        <v>22</v>
      </c>
      <c r="B14" s="1">
        <v>45089</v>
      </c>
      <c r="C14">
        <v>12</v>
      </c>
      <c r="D14">
        <v>6</v>
      </c>
      <c r="E14">
        <v>2023</v>
      </c>
      <c r="F14" t="s">
        <v>228</v>
      </c>
      <c r="G14" t="s">
        <v>11</v>
      </c>
      <c r="H14">
        <v>61</v>
      </c>
      <c r="I14" t="s">
        <v>207</v>
      </c>
      <c r="J14">
        <v>2789.99</v>
      </c>
      <c r="K14">
        <v>0</v>
      </c>
      <c r="L14">
        <v>10.79</v>
      </c>
    </row>
    <row r="15" spans="1:15" x14ac:dyDescent="0.3">
      <c r="A15" t="s">
        <v>23</v>
      </c>
      <c r="B15" s="1">
        <v>45134</v>
      </c>
      <c r="C15">
        <v>27</v>
      </c>
      <c r="D15">
        <v>7</v>
      </c>
      <c r="E15">
        <v>2023</v>
      </c>
      <c r="F15" t="s">
        <v>229</v>
      </c>
      <c r="G15" t="s">
        <v>24</v>
      </c>
      <c r="H15">
        <v>22</v>
      </c>
      <c r="I15" t="s">
        <v>210</v>
      </c>
      <c r="J15">
        <v>2611.36</v>
      </c>
      <c r="K15">
        <v>0</v>
      </c>
      <c r="L15">
        <v>18.66</v>
      </c>
    </row>
    <row r="16" spans="1:15" x14ac:dyDescent="0.3">
      <c r="A16" t="s">
        <v>25</v>
      </c>
      <c r="B16" s="1">
        <v>45095</v>
      </c>
      <c r="C16">
        <v>18</v>
      </c>
      <c r="D16">
        <v>6</v>
      </c>
      <c r="E16">
        <v>2023</v>
      </c>
      <c r="F16" t="s">
        <v>228</v>
      </c>
      <c r="G16" t="s">
        <v>11</v>
      </c>
      <c r="H16">
        <v>47</v>
      </c>
      <c r="I16" t="s">
        <v>208</v>
      </c>
      <c r="J16">
        <v>2010.36</v>
      </c>
      <c r="K16">
        <v>1</v>
      </c>
      <c r="L16">
        <v>8.11</v>
      </c>
    </row>
    <row r="17" spans="1:12" x14ac:dyDescent="0.3">
      <c r="A17" t="s">
        <v>26</v>
      </c>
      <c r="B17" s="1">
        <v>45087</v>
      </c>
      <c r="C17">
        <v>10</v>
      </c>
      <c r="D17">
        <v>6</v>
      </c>
      <c r="E17">
        <v>2023</v>
      </c>
      <c r="F17" t="s">
        <v>228</v>
      </c>
      <c r="G17" t="s">
        <v>8</v>
      </c>
      <c r="H17">
        <v>47</v>
      </c>
      <c r="I17" t="s">
        <v>208</v>
      </c>
      <c r="J17">
        <v>1299.44</v>
      </c>
      <c r="K17">
        <v>0</v>
      </c>
      <c r="L17">
        <v>12.73</v>
      </c>
    </row>
    <row r="18" spans="1:12" x14ac:dyDescent="0.3">
      <c r="A18" t="s">
        <v>27</v>
      </c>
      <c r="B18" s="1">
        <v>44994</v>
      </c>
      <c r="C18">
        <v>9</v>
      </c>
      <c r="D18">
        <v>3</v>
      </c>
      <c r="E18">
        <v>2023</v>
      </c>
      <c r="F18" t="s">
        <v>224</v>
      </c>
      <c r="G18" t="s">
        <v>11</v>
      </c>
      <c r="H18">
        <v>34</v>
      </c>
      <c r="I18" t="s">
        <v>209</v>
      </c>
      <c r="J18">
        <v>1841.63</v>
      </c>
      <c r="K18">
        <v>1</v>
      </c>
      <c r="L18">
        <v>8.67</v>
      </c>
    </row>
    <row r="19" spans="1:12" x14ac:dyDescent="0.3">
      <c r="A19" t="s">
        <v>28</v>
      </c>
      <c r="G19" t="s">
        <v>8</v>
      </c>
      <c r="H19">
        <v>42</v>
      </c>
      <c r="I19" t="s">
        <v>206</v>
      </c>
      <c r="J19">
        <v>2381.46</v>
      </c>
      <c r="K19">
        <v>0</v>
      </c>
      <c r="L19">
        <v>8.66</v>
      </c>
    </row>
    <row r="20" spans="1:12" x14ac:dyDescent="0.3">
      <c r="A20" t="s">
        <v>29</v>
      </c>
      <c r="B20" s="1">
        <v>45203</v>
      </c>
      <c r="C20">
        <v>4</v>
      </c>
      <c r="D20">
        <v>10</v>
      </c>
      <c r="E20">
        <v>2023</v>
      </c>
      <c r="F20" t="s">
        <v>231</v>
      </c>
      <c r="G20" t="s">
        <v>11</v>
      </c>
      <c r="H20">
        <v>64</v>
      </c>
      <c r="I20" t="s">
        <v>207</v>
      </c>
      <c r="J20">
        <v>616.34</v>
      </c>
      <c r="K20">
        <v>0</v>
      </c>
      <c r="L20">
        <v>4.16</v>
      </c>
    </row>
    <row r="21" spans="1:12" x14ac:dyDescent="0.3">
      <c r="A21" t="s">
        <v>30</v>
      </c>
      <c r="B21" s="1">
        <v>45230</v>
      </c>
      <c r="C21">
        <v>31</v>
      </c>
      <c r="D21">
        <v>10</v>
      </c>
      <c r="E21">
        <v>2023</v>
      </c>
      <c r="F21" t="s">
        <v>231</v>
      </c>
      <c r="G21" t="s">
        <v>24</v>
      </c>
      <c r="H21">
        <v>40</v>
      </c>
      <c r="I21" t="s">
        <v>206</v>
      </c>
      <c r="J21">
        <v>2993.37</v>
      </c>
      <c r="K21">
        <v>0</v>
      </c>
      <c r="L21">
        <v>6.29</v>
      </c>
    </row>
    <row r="22" spans="1:12" x14ac:dyDescent="0.3">
      <c r="A22" t="s">
        <v>31</v>
      </c>
      <c r="B22" s="1">
        <v>45061</v>
      </c>
      <c r="C22">
        <v>15</v>
      </c>
      <c r="D22">
        <v>5</v>
      </c>
      <c r="E22">
        <v>2023</v>
      </c>
      <c r="F22" t="s">
        <v>195</v>
      </c>
      <c r="G22" t="s">
        <v>8</v>
      </c>
      <c r="H22">
        <v>32</v>
      </c>
      <c r="I22" t="s">
        <v>209</v>
      </c>
      <c r="J22">
        <v>3653.64</v>
      </c>
      <c r="K22">
        <v>0</v>
      </c>
      <c r="L22">
        <v>5.36</v>
      </c>
    </row>
    <row r="23" spans="1:12" x14ac:dyDescent="0.3">
      <c r="A23" t="s">
        <v>32</v>
      </c>
      <c r="B23" s="1">
        <v>45121</v>
      </c>
      <c r="C23">
        <v>14</v>
      </c>
      <c r="D23">
        <v>7</v>
      </c>
      <c r="E23">
        <v>2023</v>
      </c>
      <c r="F23" t="s">
        <v>229</v>
      </c>
      <c r="G23" t="s">
        <v>24</v>
      </c>
      <c r="H23">
        <v>54</v>
      </c>
      <c r="I23" t="s">
        <v>208</v>
      </c>
      <c r="J23">
        <v>444.05</v>
      </c>
      <c r="K23">
        <v>1</v>
      </c>
      <c r="L23">
        <v>12.97</v>
      </c>
    </row>
    <row r="24" spans="1:12" x14ac:dyDescent="0.3">
      <c r="A24" t="s">
        <v>33</v>
      </c>
      <c r="B24" s="1">
        <v>45054</v>
      </c>
      <c r="C24">
        <v>8</v>
      </c>
      <c r="D24">
        <v>5</v>
      </c>
      <c r="E24">
        <v>2023</v>
      </c>
      <c r="F24" t="s">
        <v>195</v>
      </c>
      <c r="G24" t="s">
        <v>24</v>
      </c>
      <c r="H24">
        <v>38</v>
      </c>
      <c r="I24" t="s">
        <v>206</v>
      </c>
      <c r="J24">
        <v>879.83</v>
      </c>
      <c r="K24">
        <v>0</v>
      </c>
      <c r="L24">
        <v>15.2</v>
      </c>
    </row>
    <row r="25" spans="1:12" x14ac:dyDescent="0.3">
      <c r="A25" t="s">
        <v>34</v>
      </c>
      <c r="B25" s="1">
        <v>44959</v>
      </c>
      <c r="C25">
        <v>2</v>
      </c>
      <c r="D25">
        <v>2</v>
      </c>
      <c r="E25">
        <v>2023</v>
      </c>
      <c r="F25" t="s">
        <v>232</v>
      </c>
      <c r="G25" t="s">
        <v>8</v>
      </c>
      <c r="H25">
        <v>31</v>
      </c>
      <c r="I25" t="s">
        <v>209</v>
      </c>
      <c r="J25">
        <v>2183.73</v>
      </c>
      <c r="K25">
        <v>0</v>
      </c>
      <c r="L25">
        <v>9.5299999999999994</v>
      </c>
    </row>
    <row r="26" spans="1:12" x14ac:dyDescent="0.3">
      <c r="A26" t="s">
        <v>35</v>
      </c>
      <c r="B26" s="1">
        <v>45102</v>
      </c>
      <c r="C26">
        <v>25</v>
      </c>
      <c r="D26">
        <v>6</v>
      </c>
      <c r="E26">
        <v>2023</v>
      </c>
      <c r="F26" t="s">
        <v>228</v>
      </c>
      <c r="G26" t="s">
        <v>8</v>
      </c>
      <c r="H26">
        <v>19</v>
      </c>
      <c r="I26" t="s">
        <v>210</v>
      </c>
      <c r="J26">
        <v>1533.94</v>
      </c>
      <c r="K26">
        <v>0</v>
      </c>
      <c r="L26">
        <v>11.15</v>
      </c>
    </row>
    <row r="27" spans="1:12" x14ac:dyDescent="0.3">
      <c r="A27" t="s">
        <v>36</v>
      </c>
      <c r="B27" s="1">
        <v>44948</v>
      </c>
      <c r="C27">
        <v>22</v>
      </c>
      <c r="D27">
        <v>1</v>
      </c>
      <c r="E27">
        <v>2023</v>
      </c>
      <c r="F27" t="s">
        <v>233</v>
      </c>
      <c r="G27" t="s">
        <v>8</v>
      </c>
      <c r="H27">
        <v>28</v>
      </c>
      <c r="I27" t="s">
        <v>209</v>
      </c>
      <c r="J27">
        <v>2208.73</v>
      </c>
      <c r="K27">
        <v>0</v>
      </c>
      <c r="L27">
        <v>9.24</v>
      </c>
    </row>
    <row r="28" spans="1:12" x14ac:dyDescent="0.3">
      <c r="A28" t="s">
        <v>37</v>
      </c>
      <c r="B28" s="1">
        <v>45164</v>
      </c>
      <c r="C28">
        <v>26</v>
      </c>
      <c r="D28">
        <v>8</v>
      </c>
      <c r="E28">
        <v>2023</v>
      </c>
      <c r="F28" t="s">
        <v>234</v>
      </c>
      <c r="G28" t="s">
        <v>8</v>
      </c>
      <c r="H28">
        <v>56</v>
      </c>
      <c r="I28" t="s">
        <v>207</v>
      </c>
      <c r="J28">
        <v>1942.66</v>
      </c>
      <c r="K28">
        <v>1</v>
      </c>
      <c r="L28">
        <v>5.95</v>
      </c>
    </row>
    <row r="29" spans="1:12" x14ac:dyDescent="0.3">
      <c r="A29" t="s">
        <v>38</v>
      </c>
      <c r="B29" s="1">
        <v>44964</v>
      </c>
      <c r="C29">
        <v>7</v>
      </c>
      <c r="D29">
        <v>2</v>
      </c>
      <c r="E29">
        <v>2023</v>
      </c>
      <c r="F29" t="s">
        <v>232</v>
      </c>
      <c r="G29" t="s">
        <v>11</v>
      </c>
      <c r="H29">
        <v>51</v>
      </c>
      <c r="I29" t="s">
        <v>208</v>
      </c>
      <c r="J29">
        <v>2133.5650000000001</v>
      </c>
      <c r="K29">
        <v>0</v>
      </c>
      <c r="L29">
        <v>13.26</v>
      </c>
    </row>
    <row r="30" spans="1:12" x14ac:dyDescent="0.3">
      <c r="A30" t="s">
        <v>39</v>
      </c>
      <c r="B30" s="1">
        <v>45156</v>
      </c>
      <c r="C30">
        <v>18</v>
      </c>
      <c r="D30">
        <v>8</v>
      </c>
      <c r="E30">
        <v>2023</v>
      </c>
      <c r="F30" t="s">
        <v>234</v>
      </c>
      <c r="G30" t="s">
        <v>8</v>
      </c>
      <c r="H30">
        <v>55</v>
      </c>
      <c r="I30" t="s">
        <v>207</v>
      </c>
      <c r="J30">
        <v>2371.61</v>
      </c>
      <c r="K30">
        <v>0</v>
      </c>
      <c r="L30">
        <v>0.54</v>
      </c>
    </row>
    <row r="31" spans="1:12" x14ac:dyDescent="0.3">
      <c r="A31" t="s">
        <v>40</v>
      </c>
      <c r="B31" s="1">
        <v>44977</v>
      </c>
      <c r="C31">
        <v>20</v>
      </c>
      <c r="D31">
        <v>2</v>
      </c>
      <c r="E31">
        <v>2023</v>
      </c>
      <c r="F31" t="s">
        <v>232</v>
      </c>
      <c r="G31" t="s">
        <v>17</v>
      </c>
      <c r="H31">
        <v>51</v>
      </c>
      <c r="I31" t="s">
        <v>208</v>
      </c>
      <c r="J31">
        <v>3204.02</v>
      </c>
      <c r="K31">
        <v>1</v>
      </c>
      <c r="L31">
        <v>5.59</v>
      </c>
    </row>
    <row r="32" spans="1:12" x14ac:dyDescent="0.3">
      <c r="A32" t="s">
        <v>41</v>
      </c>
      <c r="B32" s="1">
        <v>45190</v>
      </c>
      <c r="C32">
        <v>21</v>
      </c>
      <c r="D32">
        <v>9</v>
      </c>
      <c r="E32">
        <v>2023</v>
      </c>
      <c r="F32" t="s">
        <v>227</v>
      </c>
      <c r="G32" t="s">
        <v>8</v>
      </c>
      <c r="H32">
        <v>35</v>
      </c>
      <c r="I32" t="s">
        <v>206</v>
      </c>
      <c r="J32">
        <v>1593.28</v>
      </c>
      <c r="K32">
        <v>0</v>
      </c>
      <c r="L32">
        <v>8.0500000000000007</v>
      </c>
    </row>
    <row r="33" spans="1:12" x14ac:dyDescent="0.3">
      <c r="A33" t="s">
        <v>42</v>
      </c>
      <c r="B33" s="1">
        <v>45209</v>
      </c>
      <c r="C33">
        <v>10</v>
      </c>
      <c r="D33">
        <v>10</v>
      </c>
      <c r="E33">
        <v>2023</v>
      </c>
      <c r="F33" t="s">
        <v>231</v>
      </c>
      <c r="G33" t="s">
        <v>17</v>
      </c>
      <c r="H33">
        <v>47</v>
      </c>
      <c r="I33" t="s">
        <v>208</v>
      </c>
      <c r="J33">
        <v>1006.53</v>
      </c>
      <c r="K33">
        <v>1</v>
      </c>
      <c r="L33">
        <v>6.65</v>
      </c>
    </row>
    <row r="34" spans="1:12" x14ac:dyDescent="0.3">
      <c r="A34" t="s">
        <v>43</v>
      </c>
      <c r="B34" s="1">
        <v>44953</v>
      </c>
      <c r="C34">
        <v>27</v>
      </c>
      <c r="D34">
        <v>1</v>
      </c>
      <c r="E34">
        <v>2023</v>
      </c>
      <c r="F34" t="s">
        <v>233</v>
      </c>
      <c r="G34" t="s">
        <v>8</v>
      </c>
      <c r="H34">
        <v>32</v>
      </c>
      <c r="I34" t="s">
        <v>209</v>
      </c>
      <c r="J34">
        <v>2146.81</v>
      </c>
      <c r="K34">
        <v>0</v>
      </c>
      <c r="L34">
        <v>9.77</v>
      </c>
    </row>
    <row r="35" spans="1:12" x14ac:dyDescent="0.3">
      <c r="A35" t="s">
        <v>44</v>
      </c>
      <c r="B35" s="1">
        <v>45203</v>
      </c>
      <c r="C35">
        <v>4</v>
      </c>
      <c r="D35">
        <v>10</v>
      </c>
      <c r="E35">
        <v>2023</v>
      </c>
      <c r="F35" t="s">
        <v>231</v>
      </c>
      <c r="G35" t="s">
        <v>11</v>
      </c>
      <c r="H35">
        <v>51</v>
      </c>
      <c r="I35" t="s">
        <v>208</v>
      </c>
      <c r="J35">
        <v>2425.5300000000002</v>
      </c>
      <c r="K35">
        <v>1</v>
      </c>
      <c r="L35">
        <v>8.24</v>
      </c>
    </row>
    <row r="36" spans="1:12" x14ac:dyDescent="0.3">
      <c r="A36" t="s">
        <v>45</v>
      </c>
      <c r="B36" s="1">
        <v>45212</v>
      </c>
      <c r="C36">
        <v>13</v>
      </c>
      <c r="D36">
        <v>10</v>
      </c>
      <c r="E36">
        <v>2023</v>
      </c>
      <c r="F36" t="s">
        <v>231</v>
      </c>
      <c r="G36" t="s">
        <v>11</v>
      </c>
      <c r="H36">
        <v>55</v>
      </c>
      <c r="I36" t="s">
        <v>207</v>
      </c>
      <c r="J36">
        <v>2557.08</v>
      </c>
      <c r="K36">
        <v>0</v>
      </c>
      <c r="L36">
        <v>15.54</v>
      </c>
    </row>
    <row r="37" spans="1:12" x14ac:dyDescent="0.3">
      <c r="A37" t="s">
        <v>46</v>
      </c>
      <c r="B37" s="1">
        <v>45023</v>
      </c>
      <c r="C37">
        <v>7</v>
      </c>
      <c r="D37">
        <v>4</v>
      </c>
      <c r="E37">
        <v>2023</v>
      </c>
      <c r="F37" t="s">
        <v>225</v>
      </c>
      <c r="G37" t="s">
        <v>17</v>
      </c>
      <c r="H37">
        <v>50</v>
      </c>
      <c r="I37" t="s">
        <v>208</v>
      </c>
      <c r="J37">
        <v>2412.9</v>
      </c>
      <c r="K37">
        <v>0</v>
      </c>
      <c r="L37">
        <v>12.79</v>
      </c>
    </row>
    <row r="38" spans="1:12" x14ac:dyDescent="0.3">
      <c r="A38" t="s">
        <v>47</v>
      </c>
      <c r="B38" s="1">
        <v>45210</v>
      </c>
      <c r="C38">
        <v>11</v>
      </c>
      <c r="D38">
        <v>10</v>
      </c>
      <c r="E38">
        <v>2023</v>
      </c>
      <c r="F38" t="s">
        <v>231</v>
      </c>
      <c r="G38" t="s">
        <v>17</v>
      </c>
      <c r="H38">
        <v>41</v>
      </c>
      <c r="I38" t="s">
        <v>206</v>
      </c>
      <c r="J38">
        <v>2380.39</v>
      </c>
      <c r="K38">
        <v>1</v>
      </c>
      <c r="L38">
        <v>6.48</v>
      </c>
    </row>
    <row r="39" spans="1:12" x14ac:dyDescent="0.3">
      <c r="A39" t="s">
        <v>48</v>
      </c>
      <c r="B39" s="1">
        <v>45230</v>
      </c>
      <c r="C39">
        <v>31</v>
      </c>
      <c r="D39">
        <v>10</v>
      </c>
      <c r="E39">
        <v>2023</v>
      </c>
      <c r="F39" t="s">
        <v>231</v>
      </c>
      <c r="G39" t="s">
        <v>8</v>
      </c>
      <c r="H39">
        <v>47</v>
      </c>
      <c r="I39" t="s">
        <v>208</v>
      </c>
      <c r="J39">
        <v>1455.4</v>
      </c>
      <c r="K39">
        <v>1</v>
      </c>
      <c r="L39">
        <v>12.46</v>
      </c>
    </row>
    <row r="40" spans="1:12" x14ac:dyDescent="0.3">
      <c r="A40" t="s">
        <v>49</v>
      </c>
      <c r="B40" s="1">
        <v>45073</v>
      </c>
      <c r="C40">
        <v>27</v>
      </c>
      <c r="D40">
        <v>5</v>
      </c>
      <c r="E40">
        <v>2023</v>
      </c>
      <c r="F40" t="s">
        <v>195</v>
      </c>
      <c r="G40" t="s">
        <v>8</v>
      </c>
      <c r="H40">
        <v>59</v>
      </c>
      <c r="I40" t="s">
        <v>207</v>
      </c>
      <c r="J40">
        <v>2593.89</v>
      </c>
      <c r="K40">
        <v>0</v>
      </c>
      <c r="L40">
        <v>12.45</v>
      </c>
    </row>
    <row r="41" spans="1:12" x14ac:dyDescent="0.3">
      <c r="A41" t="s">
        <v>50</v>
      </c>
      <c r="B41" s="1">
        <v>44930</v>
      </c>
      <c r="C41">
        <v>4</v>
      </c>
      <c r="D41">
        <v>1</v>
      </c>
      <c r="E41">
        <v>2023</v>
      </c>
      <c r="F41" t="s">
        <v>233</v>
      </c>
      <c r="G41" t="s">
        <v>17</v>
      </c>
      <c r="H41">
        <v>34</v>
      </c>
      <c r="I41" t="s">
        <v>209</v>
      </c>
      <c r="J41">
        <v>2194.77</v>
      </c>
      <c r="K41">
        <v>1</v>
      </c>
      <c r="L41">
        <v>6.98</v>
      </c>
    </row>
    <row r="42" spans="1:12" x14ac:dyDescent="0.3">
      <c r="A42" t="s">
        <v>51</v>
      </c>
      <c r="B42" s="1">
        <v>44961</v>
      </c>
      <c r="C42">
        <v>4</v>
      </c>
      <c r="D42">
        <v>2</v>
      </c>
      <c r="E42">
        <v>2023</v>
      </c>
      <c r="F42" t="s">
        <v>232</v>
      </c>
      <c r="G42" t="s">
        <v>17</v>
      </c>
      <c r="H42">
        <v>22</v>
      </c>
      <c r="I42" t="s">
        <v>210</v>
      </c>
      <c r="J42">
        <v>2133.5650000000001</v>
      </c>
      <c r="K42">
        <v>1</v>
      </c>
      <c r="L42">
        <v>8.83</v>
      </c>
    </row>
    <row r="43" spans="1:12" x14ac:dyDescent="0.3">
      <c r="A43" t="s">
        <v>52</v>
      </c>
      <c r="B43" s="1">
        <v>45118</v>
      </c>
      <c r="C43">
        <v>11</v>
      </c>
      <c r="D43">
        <v>7</v>
      </c>
      <c r="E43">
        <v>2023</v>
      </c>
      <c r="F43" t="s">
        <v>229</v>
      </c>
      <c r="G43" t="s">
        <v>24</v>
      </c>
      <c r="H43">
        <v>46</v>
      </c>
      <c r="I43" t="s">
        <v>208</v>
      </c>
      <c r="J43">
        <v>634.17999999999995</v>
      </c>
      <c r="K43">
        <v>0</v>
      </c>
      <c r="L43">
        <v>19.23</v>
      </c>
    </row>
    <row r="44" spans="1:12" x14ac:dyDescent="0.3">
      <c r="A44" t="s">
        <v>53</v>
      </c>
      <c r="B44" s="1">
        <v>44975</v>
      </c>
      <c r="C44">
        <v>18</v>
      </c>
      <c r="D44">
        <v>2</v>
      </c>
      <c r="E44">
        <v>2023</v>
      </c>
      <c r="F44" t="s">
        <v>232</v>
      </c>
      <c r="G44" t="s">
        <v>8</v>
      </c>
      <c r="H44">
        <v>21</v>
      </c>
      <c r="I44" t="s">
        <v>210</v>
      </c>
      <c r="J44">
        <v>1599.37</v>
      </c>
      <c r="K44">
        <v>1</v>
      </c>
      <c r="L44">
        <v>7.07</v>
      </c>
    </row>
    <row r="45" spans="1:12" x14ac:dyDescent="0.3">
      <c r="A45" t="s">
        <v>54</v>
      </c>
      <c r="B45" s="1">
        <v>44943</v>
      </c>
      <c r="C45">
        <v>17</v>
      </c>
      <c r="D45">
        <v>1</v>
      </c>
      <c r="E45">
        <v>2023</v>
      </c>
      <c r="F45" t="s">
        <v>233</v>
      </c>
      <c r="G45" t="s">
        <v>8</v>
      </c>
      <c r="H45">
        <v>27</v>
      </c>
      <c r="I45" t="s">
        <v>209</v>
      </c>
      <c r="J45">
        <v>3525.62</v>
      </c>
      <c r="K45">
        <v>0</v>
      </c>
      <c r="L45">
        <v>19.55</v>
      </c>
    </row>
    <row r="46" spans="1:12" x14ac:dyDescent="0.3">
      <c r="A46" t="s">
        <v>55</v>
      </c>
      <c r="B46" s="1">
        <v>45098</v>
      </c>
      <c r="C46">
        <v>21</v>
      </c>
      <c r="D46">
        <v>6</v>
      </c>
      <c r="E46">
        <v>2023</v>
      </c>
      <c r="F46" t="s">
        <v>228</v>
      </c>
      <c r="G46" t="s">
        <v>17</v>
      </c>
      <c r="H46">
        <v>34</v>
      </c>
      <c r="I46" t="s">
        <v>209</v>
      </c>
      <c r="J46">
        <v>2442.0300000000002</v>
      </c>
      <c r="K46">
        <v>1</v>
      </c>
      <c r="L46">
        <v>15.52</v>
      </c>
    </row>
    <row r="47" spans="1:12" x14ac:dyDescent="0.3">
      <c r="A47" t="s">
        <v>56</v>
      </c>
      <c r="B47" s="1">
        <v>45146</v>
      </c>
      <c r="C47">
        <v>8</v>
      </c>
      <c r="D47">
        <v>8</v>
      </c>
      <c r="E47">
        <v>2023</v>
      </c>
      <c r="F47" t="s">
        <v>234</v>
      </c>
      <c r="G47" t="s">
        <v>8</v>
      </c>
      <c r="H47">
        <v>27</v>
      </c>
      <c r="I47" t="s">
        <v>209</v>
      </c>
      <c r="J47">
        <v>2236.44</v>
      </c>
      <c r="K47">
        <v>0</v>
      </c>
      <c r="L47">
        <v>18.63</v>
      </c>
    </row>
    <row r="48" spans="1:12" x14ac:dyDescent="0.3">
      <c r="A48" t="s">
        <v>57</v>
      </c>
      <c r="B48" s="1">
        <v>45084</v>
      </c>
      <c r="C48">
        <v>7</v>
      </c>
      <c r="D48">
        <v>6</v>
      </c>
      <c r="E48">
        <v>2023</v>
      </c>
      <c r="F48" t="s">
        <v>228</v>
      </c>
      <c r="G48" t="s">
        <v>24</v>
      </c>
      <c r="H48">
        <v>34</v>
      </c>
      <c r="I48" t="s">
        <v>209</v>
      </c>
      <c r="J48">
        <v>2566.34</v>
      </c>
      <c r="K48">
        <v>0</v>
      </c>
      <c r="L48">
        <v>6.85</v>
      </c>
    </row>
    <row r="49" spans="1:12" x14ac:dyDescent="0.3">
      <c r="A49" t="s">
        <v>58</v>
      </c>
      <c r="B49" s="1">
        <v>44972</v>
      </c>
      <c r="C49">
        <v>15</v>
      </c>
      <c r="D49">
        <v>2</v>
      </c>
      <c r="E49">
        <v>2023</v>
      </c>
      <c r="F49" t="s">
        <v>232</v>
      </c>
      <c r="G49" t="s">
        <v>17</v>
      </c>
      <c r="H49">
        <v>37</v>
      </c>
      <c r="I49" t="s">
        <v>206</v>
      </c>
      <c r="J49">
        <v>3766.76</v>
      </c>
      <c r="K49">
        <v>0</v>
      </c>
      <c r="L49">
        <v>9.16</v>
      </c>
    </row>
    <row r="50" spans="1:12" x14ac:dyDescent="0.3">
      <c r="A50" t="s">
        <v>59</v>
      </c>
      <c r="B50" s="1">
        <v>44932</v>
      </c>
      <c r="C50">
        <v>6</v>
      </c>
      <c r="D50">
        <v>1</v>
      </c>
      <c r="E50">
        <v>2023</v>
      </c>
      <c r="F50" t="s">
        <v>233</v>
      </c>
      <c r="G50" t="s">
        <v>8</v>
      </c>
      <c r="H50">
        <v>41</v>
      </c>
      <c r="I50" t="s">
        <v>206</v>
      </c>
      <c r="J50">
        <v>3598.44</v>
      </c>
      <c r="K50">
        <v>0</v>
      </c>
      <c r="L50">
        <v>7.75</v>
      </c>
    </row>
    <row r="51" spans="1:12" x14ac:dyDescent="0.3">
      <c r="A51" t="s">
        <v>60</v>
      </c>
      <c r="B51" s="1">
        <v>45025</v>
      </c>
      <c r="C51">
        <v>9</v>
      </c>
      <c r="D51">
        <v>4</v>
      </c>
      <c r="E51">
        <v>2023</v>
      </c>
      <c r="F51" t="s">
        <v>225</v>
      </c>
      <c r="G51" t="s">
        <v>17</v>
      </c>
      <c r="H51">
        <v>22</v>
      </c>
      <c r="I51" t="s">
        <v>210</v>
      </c>
      <c r="J51">
        <v>736.38</v>
      </c>
      <c r="K51">
        <v>0</v>
      </c>
      <c r="L51">
        <v>15.63</v>
      </c>
    </row>
    <row r="52" spans="1:12" x14ac:dyDescent="0.3">
      <c r="A52" t="s">
        <v>61</v>
      </c>
      <c r="B52" s="1">
        <v>44963</v>
      </c>
      <c r="C52">
        <v>6</v>
      </c>
      <c r="D52">
        <v>2</v>
      </c>
      <c r="E52">
        <v>2023</v>
      </c>
      <c r="F52" t="s">
        <v>232</v>
      </c>
      <c r="G52" t="s">
        <v>8</v>
      </c>
      <c r="H52">
        <v>23</v>
      </c>
      <c r="I52" t="s">
        <v>210</v>
      </c>
      <c r="J52">
        <v>709.27</v>
      </c>
      <c r="K52">
        <v>1</v>
      </c>
      <c r="L52">
        <v>13.66</v>
      </c>
    </row>
    <row r="53" spans="1:12" x14ac:dyDescent="0.3">
      <c r="A53" t="s">
        <v>62</v>
      </c>
      <c r="B53" s="1">
        <v>45275</v>
      </c>
      <c r="C53">
        <v>15</v>
      </c>
      <c r="D53">
        <v>12</v>
      </c>
      <c r="E53">
        <v>2023</v>
      </c>
      <c r="F53" t="s">
        <v>226</v>
      </c>
      <c r="G53" t="s">
        <v>11</v>
      </c>
      <c r="H53">
        <v>30</v>
      </c>
      <c r="I53" t="s">
        <v>209</v>
      </c>
      <c r="J53">
        <v>2043.94</v>
      </c>
      <c r="K53">
        <v>0</v>
      </c>
      <c r="L53">
        <v>9.76</v>
      </c>
    </row>
    <row r="54" spans="1:12" x14ac:dyDescent="0.3">
      <c r="A54" t="s">
        <v>63</v>
      </c>
      <c r="B54" s="1">
        <v>45228</v>
      </c>
      <c r="C54">
        <v>29</v>
      </c>
      <c r="D54">
        <v>10</v>
      </c>
      <c r="E54">
        <v>2023</v>
      </c>
      <c r="F54" t="s">
        <v>231</v>
      </c>
      <c r="G54" t="s">
        <v>17</v>
      </c>
      <c r="H54">
        <v>60</v>
      </c>
      <c r="I54" t="s">
        <v>207</v>
      </c>
      <c r="J54">
        <v>2193.61</v>
      </c>
      <c r="K54">
        <v>0</v>
      </c>
      <c r="L54">
        <v>16.489999999999998</v>
      </c>
    </row>
    <row r="55" spans="1:12" x14ac:dyDescent="0.3">
      <c r="A55" t="s">
        <v>64</v>
      </c>
      <c r="B55" s="1">
        <v>45107</v>
      </c>
      <c r="C55">
        <v>30</v>
      </c>
      <c r="D55">
        <v>6</v>
      </c>
      <c r="E55">
        <v>2023</v>
      </c>
      <c r="F55" t="s">
        <v>228</v>
      </c>
      <c r="G55" t="s">
        <v>8</v>
      </c>
      <c r="H55">
        <v>60</v>
      </c>
      <c r="I55" t="s">
        <v>207</v>
      </c>
      <c r="J55">
        <v>775.62</v>
      </c>
      <c r="K55">
        <v>0</v>
      </c>
      <c r="L55">
        <v>10.54</v>
      </c>
    </row>
    <row r="56" spans="1:12" x14ac:dyDescent="0.3">
      <c r="A56" t="s">
        <v>65</v>
      </c>
      <c r="B56" s="1">
        <v>45021</v>
      </c>
      <c r="C56">
        <v>5</v>
      </c>
      <c r="D56">
        <v>4</v>
      </c>
      <c r="E56">
        <v>2023</v>
      </c>
      <c r="F56" t="s">
        <v>225</v>
      </c>
      <c r="G56" t="s">
        <v>17</v>
      </c>
      <c r="H56">
        <v>42</v>
      </c>
      <c r="I56" t="s">
        <v>206</v>
      </c>
      <c r="J56">
        <v>506.12</v>
      </c>
      <c r="K56">
        <v>0</v>
      </c>
      <c r="L56">
        <v>14.17</v>
      </c>
    </row>
    <row r="57" spans="1:12" x14ac:dyDescent="0.3">
      <c r="A57" t="s">
        <v>66</v>
      </c>
      <c r="B57" s="1">
        <v>45025</v>
      </c>
      <c r="C57">
        <v>9</v>
      </c>
      <c r="D57">
        <v>4</v>
      </c>
      <c r="E57">
        <v>2023</v>
      </c>
      <c r="F57" t="s">
        <v>225</v>
      </c>
      <c r="G57" t="s">
        <v>8</v>
      </c>
      <c r="H57">
        <v>28</v>
      </c>
      <c r="I57" t="s">
        <v>209</v>
      </c>
      <c r="J57">
        <v>1388.17</v>
      </c>
      <c r="K57">
        <v>0</v>
      </c>
      <c r="L57">
        <v>7.53</v>
      </c>
    </row>
    <row r="58" spans="1:12" x14ac:dyDescent="0.3">
      <c r="A58" t="s">
        <v>67</v>
      </c>
      <c r="B58" s="1">
        <v>45114</v>
      </c>
      <c r="C58">
        <v>7</v>
      </c>
      <c r="D58">
        <v>7</v>
      </c>
      <c r="E58">
        <v>2023</v>
      </c>
      <c r="F58" t="s">
        <v>229</v>
      </c>
      <c r="G58" t="s">
        <v>8</v>
      </c>
      <c r="H58">
        <v>64</v>
      </c>
      <c r="I58" t="s">
        <v>207</v>
      </c>
      <c r="J58">
        <v>2732.94</v>
      </c>
      <c r="K58">
        <v>0</v>
      </c>
      <c r="L58">
        <v>6.38</v>
      </c>
    </row>
    <row r="59" spans="1:12" x14ac:dyDescent="0.3">
      <c r="A59" t="s">
        <v>68</v>
      </c>
      <c r="B59" s="1">
        <v>45042</v>
      </c>
      <c r="C59">
        <v>26</v>
      </c>
      <c r="D59">
        <v>4</v>
      </c>
      <c r="E59">
        <v>2023</v>
      </c>
      <c r="F59" t="s">
        <v>225</v>
      </c>
      <c r="G59" t="s">
        <v>24</v>
      </c>
      <c r="H59">
        <v>40</v>
      </c>
      <c r="I59" t="s">
        <v>206</v>
      </c>
      <c r="J59">
        <v>2872.29</v>
      </c>
      <c r="K59">
        <v>1</v>
      </c>
      <c r="L59">
        <v>13.66</v>
      </c>
    </row>
    <row r="60" spans="1:12" x14ac:dyDescent="0.3">
      <c r="A60" t="s">
        <v>69</v>
      </c>
      <c r="B60" s="1">
        <v>45117</v>
      </c>
      <c r="C60">
        <v>10</v>
      </c>
      <c r="D60">
        <v>7</v>
      </c>
      <c r="E60">
        <v>2023</v>
      </c>
      <c r="F60" t="s">
        <v>229</v>
      </c>
      <c r="G60" t="s">
        <v>8</v>
      </c>
      <c r="H60">
        <v>33</v>
      </c>
      <c r="I60" t="s">
        <v>209</v>
      </c>
      <c r="J60">
        <v>3364.66</v>
      </c>
      <c r="K60">
        <v>0</v>
      </c>
      <c r="L60">
        <v>12.15</v>
      </c>
    </row>
    <row r="61" spans="1:12" x14ac:dyDescent="0.3">
      <c r="A61" t="s">
        <v>70</v>
      </c>
      <c r="B61" s="1">
        <v>45179</v>
      </c>
      <c r="C61">
        <v>10</v>
      </c>
      <c r="D61">
        <v>9</v>
      </c>
      <c r="E61">
        <v>2023</v>
      </c>
      <c r="F61" t="s">
        <v>227</v>
      </c>
      <c r="G61" t="s">
        <v>8</v>
      </c>
      <c r="H61">
        <v>48</v>
      </c>
      <c r="I61" t="s">
        <v>208</v>
      </c>
      <c r="J61">
        <v>1974.14</v>
      </c>
      <c r="K61">
        <v>0</v>
      </c>
      <c r="L61">
        <v>11.22</v>
      </c>
    </row>
    <row r="62" spans="1:12" x14ac:dyDescent="0.3">
      <c r="A62" t="s">
        <v>71</v>
      </c>
      <c r="B62" s="1">
        <v>45182</v>
      </c>
      <c r="C62">
        <v>13</v>
      </c>
      <c r="D62">
        <v>9</v>
      </c>
      <c r="E62">
        <v>2023</v>
      </c>
      <c r="F62" t="s">
        <v>227</v>
      </c>
      <c r="G62" t="s">
        <v>24</v>
      </c>
      <c r="H62">
        <v>33</v>
      </c>
      <c r="I62" t="s">
        <v>209</v>
      </c>
      <c r="J62">
        <v>2807.92</v>
      </c>
      <c r="K62">
        <v>0</v>
      </c>
      <c r="L62">
        <v>17.75</v>
      </c>
    </row>
    <row r="63" spans="1:12" x14ac:dyDescent="0.3">
      <c r="A63" t="s">
        <v>72</v>
      </c>
      <c r="B63" s="1">
        <v>45249</v>
      </c>
      <c r="C63">
        <v>19</v>
      </c>
      <c r="D63">
        <v>11</v>
      </c>
      <c r="E63">
        <v>2023</v>
      </c>
      <c r="F63" t="s">
        <v>230</v>
      </c>
      <c r="G63" t="s">
        <v>11</v>
      </c>
      <c r="H63">
        <v>25</v>
      </c>
      <c r="I63" t="s">
        <v>209</v>
      </c>
      <c r="J63">
        <v>1602.51</v>
      </c>
      <c r="K63">
        <v>0</v>
      </c>
      <c r="L63">
        <v>4.42</v>
      </c>
    </row>
    <row r="64" spans="1:12" x14ac:dyDescent="0.3">
      <c r="A64" t="s">
        <v>73</v>
      </c>
      <c r="B64" s="1">
        <v>45054</v>
      </c>
      <c r="C64">
        <v>8</v>
      </c>
      <c r="D64">
        <v>5</v>
      </c>
      <c r="E64">
        <v>2023</v>
      </c>
      <c r="F64" t="s">
        <v>195</v>
      </c>
      <c r="G64" t="s">
        <v>11</v>
      </c>
      <c r="H64">
        <v>21</v>
      </c>
      <c r="I64" t="s">
        <v>210</v>
      </c>
      <c r="J64">
        <v>2310.2800000000002</v>
      </c>
      <c r="K64">
        <v>1</v>
      </c>
      <c r="L64">
        <v>4.1399999999999997</v>
      </c>
    </row>
    <row r="65" spans="1:12" x14ac:dyDescent="0.3">
      <c r="A65" t="s">
        <v>74</v>
      </c>
      <c r="B65" s="1">
        <v>45207</v>
      </c>
      <c r="C65">
        <v>8</v>
      </c>
      <c r="D65">
        <v>10</v>
      </c>
      <c r="E65">
        <v>2023</v>
      </c>
      <c r="F65" t="s">
        <v>231</v>
      </c>
      <c r="G65" t="s">
        <v>8</v>
      </c>
      <c r="H65">
        <v>21</v>
      </c>
      <c r="I65" t="s">
        <v>210</v>
      </c>
      <c r="J65">
        <v>1272.67</v>
      </c>
      <c r="K65">
        <v>0</v>
      </c>
      <c r="L65">
        <v>14.3</v>
      </c>
    </row>
    <row r="66" spans="1:12" x14ac:dyDescent="0.3">
      <c r="A66" t="s">
        <v>75</v>
      </c>
      <c r="B66" s="1">
        <v>45149</v>
      </c>
      <c r="C66">
        <v>11</v>
      </c>
      <c r="D66">
        <v>8</v>
      </c>
      <c r="E66">
        <v>2023</v>
      </c>
      <c r="F66" t="s">
        <v>234</v>
      </c>
      <c r="G66" t="s">
        <v>8</v>
      </c>
      <c r="H66">
        <v>42</v>
      </c>
      <c r="I66" t="s">
        <v>206</v>
      </c>
      <c r="J66">
        <v>3313.68</v>
      </c>
      <c r="K66">
        <v>0</v>
      </c>
      <c r="L66">
        <v>11.77</v>
      </c>
    </row>
    <row r="67" spans="1:12" x14ac:dyDescent="0.3">
      <c r="A67" t="s">
        <v>76</v>
      </c>
      <c r="B67" s="1">
        <v>44980</v>
      </c>
      <c r="C67">
        <v>23</v>
      </c>
      <c r="D67">
        <v>2</v>
      </c>
      <c r="E67">
        <v>2023</v>
      </c>
      <c r="F67" t="s">
        <v>232</v>
      </c>
      <c r="G67" t="s">
        <v>11</v>
      </c>
      <c r="H67">
        <v>20</v>
      </c>
      <c r="I67" t="s">
        <v>210</v>
      </c>
      <c r="J67">
        <v>1968.95</v>
      </c>
      <c r="K67">
        <v>1</v>
      </c>
      <c r="L67">
        <v>10.84</v>
      </c>
    </row>
    <row r="68" spans="1:12" x14ac:dyDescent="0.3">
      <c r="A68" t="s">
        <v>77</v>
      </c>
      <c r="B68" s="1">
        <v>44984</v>
      </c>
      <c r="C68">
        <v>27</v>
      </c>
      <c r="D68">
        <v>2</v>
      </c>
      <c r="E68">
        <v>2023</v>
      </c>
      <c r="F68" t="s">
        <v>232</v>
      </c>
      <c r="G68" t="s">
        <v>17</v>
      </c>
      <c r="H68">
        <v>49</v>
      </c>
      <c r="I68" t="s">
        <v>208</v>
      </c>
      <c r="J68">
        <v>2069.63</v>
      </c>
      <c r="K68">
        <v>1</v>
      </c>
      <c r="L68">
        <v>12.51</v>
      </c>
    </row>
    <row r="69" spans="1:12" x14ac:dyDescent="0.3">
      <c r="A69" t="s">
        <v>78</v>
      </c>
      <c r="B69" s="1">
        <v>45286</v>
      </c>
      <c r="C69">
        <v>26</v>
      </c>
      <c r="D69">
        <v>12</v>
      </c>
      <c r="E69">
        <v>2023</v>
      </c>
      <c r="F69" t="s">
        <v>226</v>
      </c>
      <c r="G69" t="s">
        <v>17</v>
      </c>
      <c r="H69">
        <v>44</v>
      </c>
      <c r="I69" t="s">
        <v>206</v>
      </c>
      <c r="J69">
        <v>1376.46</v>
      </c>
      <c r="K69">
        <v>0</v>
      </c>
      <c r="L69">
        <v>22.58</v>
      </c>
    </row>
    <row r="70" spans="1:12" x14ac:dyDescent="0.3">
      <c r="A70" t="s">
        <v>79</v>
      </c>
      <c r="B70" s="1">
        <v>45100</v>
      </c>
      <c r="C70">
        <v>23</v>
      </c>
      <c r="D70">
        <v>6</v>
      </c>
      <c r="E70">
        <v>2023</v>
      </c>
      <c r="F70" t="s">
        <v>228</v>
      </c>
      <c r="G70" t="s">
        <v>8</v>
      </c>
      <c r="H70">
        <v>46</v>
      </c>
      <c r="I70" t="s">
        <v>208</v>
      </c>
      <c r="J70">
        <v>2133.5650000000001</v>
      </c>
      <c r="K70">
        <v>0</v>
      </c>
      <c r="L70">
        <v>1.72</v>
      </c>
    </row>
    <row r="71" spans="1:12" x14ac:dyDescent="0.3">
      <c r="A71" t="s">
        <v>80</v>
      </c>
      <c r="B71" s="1">
        <v>45206</v>
      </c>
      <c r="C71">
        <v>7</v>
      </c>
      <c r="D71">
        <v>10</v>
      </c>
      <c r="E71">
        <v>2023</v>
      </c>
      <c r="F71" t="s">
        <v>231</v>
      </c>
      <c r="G71" t="s">
        <v>8</v>
      </c>
      <c r="H71">
        <v>49</v>
      </c>
      <c r="I71" t="s">
        <v>208</v>
      </c>
      <c r="J71">
        <v>2044.12</v>
      </c>
      <c r="K71">
        <v>0</v>
      </c>
      <c r="L71">
        <v>7.91</v>
      </c>
    </row>
    <row r="72" spans="1:12" x14ac:dyDescent="0.3">
      <c r="A72" t="s">
        <v>81</v>
      </c>
      <c r="B72" s="1">
        <v>45040</v>
      </c>
      <c r="C72">
        <v>24</v>
      </c>
      <c r="D72">
        <v>4</v>
      </c>
      <c r="E72">
        <v>2023</v>
      </c>
      <c r="F72" t="s">
        <v>225</v>
      </c>
      <c r="G72" t="s">
        <v>8</v>
      </c>
      <c r="H72">
        <v>42</v>
      </c>
      <c r="I72" t="s">
        <v>206</v>
      </c>
      <c r="J72">
        <v>4004.55</v>
      </c>
      <c r="K72">
        <v>1</v>
      </c>
      <c r="L72">
        <v>7.59</v>
      </c>
    </row>
    <row r="73" spans="1:12" x14ac:dyDescent="0.3">
      <c r="A73" t="s">
        <v>82</v>
      </c>
      <c r="B73" s="1">
        <v>45214</v>
      </c>
      <c r="C73">
        <v>15</v>
      </c>
      <c r="D73">
        <v>10</v>
      </c>
      <c r="E73">
        <v>2023</v>
      </c>
      <c r="F73" t="s">
        <v>231</v>
      </c>
      <c r="G73" t="s">
        <v>11</v>
      </c>
      <c r="H73">
        <v>36</v>
      </c>
      <c r="I73" t="s">
        <v>206</v>
      </c>
      <c r="J73">
        <v>1185.0999999999999</v>
      </c>
      <c r="K73">
        <v>1</v>
      </c>
      <c r="L73">
        <v>18.13</v>
      </c>
    </row>
    <row r="74" spans="1:12" x14ac:dyDescent="0.3">
      <c r="A74" t="s">
        <v>83</v>
      </c>
      <c r="B74" s="1">
        <v>45077</v>
      </c>
      <c r="C74">
        <v>31</v>
      </c>
      <c r="D74">
        <v>5</v>
      </c>
      <c r="E74">
        <v>2023</v>
      </c>
      <c r="F74" t="s">
        <v>195</v>
      </c>
      <c r="G74" t="s">
        <v>17</v>
      </c>
      <c r="H74">
        <v>22</v>
      </c>
      <c r="I74" t="s">
        <v>210</v>
      </c>
      <c r="J74">
        <v>3131.4</v>
      </c>
      <c r="K74">
        <v>1</v>
      </c>
      <c r="L74">
        <v>12.57</v>
      </c>
    </row>
    <row r="75" spans="1:12" x14ac:dyDescent="0.3">
      <c r="A75" t="s">
        <v>84</v>
      </c>
      <c r="B75" s="1">
        <v>45053</v>
      </c>
      <c r="C75">
        <v>7</v>
      </c>
      <c r="D75">
        <v>5</v>
      </c>
      <c r="E75">
        <v>2023</v>
      </c>
      <c r="F75" t="s">
        <v>195</v>
      </c>
      <c r="G75" t="s">
        <v>8</v>
      </c>
      <c r="H75">
        <v>35</v>
      </c>
      <c r="I75" t="s">
        <v>206</v>
      </c>
      <c r="J75">
        <v>1621.13</v>
      </c>
      <c r="K75">
        <v>1</v>
      </c>
      <c r="L75">
        <v>8.7200000000000006</v>
      </c>
    </row>
    <row r="76" spans="1:12" x14ac:dyDescent="0.3">
      <c r="A76" t="s">
        <v>85</v>
      </c>
      <c r="B76" s="1">
        <v>45081</v>
      </c>
      <c r="C76">
        <v>4</v>
      </c>
      <c r="D76">
        <v>6</v>
      </c>
      <c r="E76">
        <v>2023</v>
      </c>
      <c r="F76" t="s">
        <v>228</v>
      </c>
      <c r="G76" t="s">
        <v>8</v>
      </c>
      <c r="H76">
        <v>45</v>
      </c>
      <c r="I76" t="s">
        <v>208</v>
      </c>
      <c r="J76">
        <v>2021.81</v>
      </c>
      <c r="K76">
        <v>0</v>
      </c>
      <c r="L76">
        <v>18.190000000000001</v>
      </c>
    </row>
    <row r="77" spans="1:12" x14ac:dyDescent="0.3">
      <c r="A77" t="s">
        <v>86</v>
      </c>
      <c r="B77" s="1">
        <v>45199</v>
      </c>
      <c r="C77">
        <v>30</v>
      </c>
      <c r="D77">
        <v>9</v>
      </c>
      <c r="E77">
        <v>2023</v>
      </c>
      <c r="F77" t="s">
        <v>227</v>
      </c>
      <c r="G77" t="s">
        <v>8</v>
      </c>
      <c r="H77">
        <v>59</v>
      </c>
      <c r="I77" t="s">
        <v>207</v>
      </c>
      <c r="J77">
        <v>1891.92</v>
      </c>
      <c r="K77">
        <v>1</v>
      </c>
      <c r="L77">
        <v>17.510000000000002</v>
      </c>
    </row>
    <row r="78" spans="1:12" x14ac:dyDescent="0.3">
      <c r="A78" t="s">
        <v>87</v>
      </c>
      <c r="B78" s="1">
        <v>45030</v>
      </c>
      <c r="C78">
        <v>14</v>
      </c>
      <c r="D78">
        <v>4</v>
      </c>
      <c r="E78">
        <v>2023</v>
      </c>
      <c r="F78" t="s">
        <v>225</v>
      </c>
      <c r="G78" t="s">
        <v>17</v>
      </c>
      <c r="H78">
        <v>39</v>
      </c>
      <c r="I78" t="s">
        <v>206</v>
      </c>
      <c r="J78">
        <v>3364.93</v>
      </c>
      <c r="K78">
        <v>1</v>
      </c>
      <c r="L78">
        <v>11.83</v>
      </c>
    </row>
    <row r="79" spans="1:12" x14ac:dyDescent="0.3">
      <c r="A79" t="s">
        <v>88</v>
      </c>
      <c r="B79" s="1">
        <v>45225</v>
      </c>
      <c r="C79">
        <v>26</v>
      </c>
      <c r="D79">
        <v>10</v>
      </c>
      <c r="E79">
        <v>2023</v>
      </c>
      <c r="F79" t="s">
        <v>231</v>
      </c>
      <c r="G79" t="s">
        <v>11</v>
      </c>
      <c r="H79">
        <v>38</v>
      </c>
      <c r="I79" t="s">
        <v>206</v>
      </c>
      <c r="J79">
        <v>2413.61</v>
      </c>
      <c r="K79">
        <v>0</v>
      </c>
      <c r="L79">
        <v>2.1</v>
      </c>
    </row>
    <row r="80" spans="1:12" x14ac:dyDescent="0.3">
      <c r="A80" t="s">
        <v>89</v>
      </c>
      <c r="B80" s="1">
        <v>45172</v>
      </c>
      <c r="C80">
        <v>3</v>
      </c>
      <c r="D80">
        <v>9</v>
      </c>
      <c r="E80">
        <v>2023</v>
      </c>
      <c r="F80" t="s">
        <v>227</v>
      </c>
      <c r="G80" t="s">
        <v>8</v>
      </c>
      <c r="H80">
        <v>23</v>
      </c>
      <c r="I80" t="s">
        <v>210</v>
      </c>
      <c r="J80">
        <v>2945.58</v>
      </c>
      <c r="K80">
        <v>0</v>
      </c>
      <c r="L80">
        <v>7.13</v>
      </c>
    </row>
    <row r="81" spans="1:12" x14ac:dyDescent="0.3">
      <c r="A81" t="s">
        <v>90</v>
      </c>
      <c r="B81" s="1">
        <v>45102</v>
      </c>
      <c r="C81">
        <v>25</v>
      </c>
      <c r="D81">
        <v>6</v>
      </c>
      <c r="E81">
        <v>2023</v>
      </c>
      <c r="F81" t="s">
        <v>228</v>
      </c>
      <c r="G81" t="s">
        <v>8</v>
      </c>
      <c r="H81">
        <v>18</v>
      </c>
      <c r="I81" t="s">
        <v>210</v>
      </c>
      <c r="J81">
        <v>2286.54</v>
      </c>
      <c r="K81">
        <v>0</v>
      </c>
      <c r="L81">
        <v>7.68</v>
      </c>
    </row>
    <row r="82" spans="1:12" x14ac:dyDescent="0.3">
      <c r="A82" t="s">
        <v>91</v>
      </c>
      <c r="B82" s="1">
        <v>44965</v>
      </c>
      <c r="C82">
        <v>8</v>
      </c>
      <c r="D82">
        <v>2</v>
      </c>
      <c r="E82">
        <v>2023</v>
      </c>
      <c r="F82" t="s">
        <v>232</v>
      </c>
      <c r="G82" t="s">
        <v>17</v>
      </c>
      <c r="H82">
        <v>22</v>
      </c>
      <c r="I82" t="s">
        <v>210</v>
      </c>
      <c r="J82">
        <v>2133.5650000000001</v>
      </c>
      <c r="K82">
        <v>0</v>
      </c>
      <c r="L82">
        <v>3.37</v>
      </c>
    </row>
    <row r="83" spans="1:12" x14ac:dyDescent="0.3">
      <c r="A83" t="s">
        <v>92</v>
      </c>
      <c r="B83" s="1">
        <v>45096</v>
      </c>
      <c r="C83">
        <v>19</v>
      </c>
      <c r="D83">
        <v>6</v>
      </c>
      <c r="E83">
        <v>2023</v>
      </c>
      <c r="F83" t="s">
        <v>228</v>
      </c>
      <c r="G83" t="s">
        <v>8</v>
      </c>
      <c r="H83">
        <v>58</v>
      </c>
      <c r="I83" t="s">
        <v>207</v>
      </c>
      <c r="J83">
        <v>2261.14</v>
      </c>
      <c r="K83">
        <v>0</v>
      </c>
      <c r="L83">
        <v>10.84</v>
      </c>
    </row>
    <row r="84" spans="1:12" x14ac:dyDescent="0.3">
      <c r="A84" t="s">
        <v>93</v>
      </c>
      <c r="B84" s="1">
        <v>45173</v>
      </c>
      <c r="C84">
        <v>4</v>
      </c>
      <c r="D84">
        <v>9</v>
      </c>
      <c r="E84">
        <v>2023</v>
      </c>
      <c r="F84" t="s">
        <v>227</v>
      </c>
      <c r="G84" t="s">
        <v>17</v>
      </c>
      <c r="H84">
        <v>29</v>
      </c>
      <c r="I84" t="s">
        <v>209</v>
      </c>
      <c r="J84">
        <v>1674.44</v>
      </c>
      <c r="K84">
        <v>0</v>
      </c>
      <c r="L84">
        <v>2.73</v>
      </c>
    </row>
    <row r="85" spans="1:12" x14ac:dyDescent="0.3">
      <c r="A85" t="s">
        <v>94</v>
      </c>
      <c r="B85" s="1">
        <v>44952</v>
      </c>
      <c r="C85">
        <v>26</v>
      </c>
      <c r="D85">
        <v>1</v>
      </c>
      <c r="E85">
        <v>2023</v>
      </c>
      <c r="F85" t="s">
        <v>233</v>
      </c>
      <c r="G85" t="s">
        <v>17</v>
      </c>
      <c r="H85">
        <v>43</v>
      </c>
      <c r="I85" t="s">
        <v>206</v>
      </c>
      <c r="J85">
        <v>838.24</v>
      </c>
      <c r="K85">
        <v>1</v>
      </c>
      <c r="L85">
        <v>19.829999999999998</v>
      </c>
    </row>
    <row r="86" spans="1:12" x14ac:dyDescent="0.3">
      <c r="A86" t="s">
        <v>95</v>
      </c>
      <c r="B86" s="1">
        <v>45281</v>
      </c>
      <c r="C86">
        <v>21</v>
      </c>
      <c r="D86">
        <v>12</v>
      </c>
      <c r="E86">
        <v>2023</v>
      </c>
      <c r="F86" t="s">
        <v>226</v>
      </c>
      <c r="G86" t="s">
        <v>8</v>
      </c>
      <c r="H86">
        <v>63</v>
      </c>
      <c r="I86" t="s">
        <v>207</v>
      </c>
      <c r="J86">
        <v>2650.95</v>
      </c>
      <c r="K86">
        <v>0</v>
      </c>
      <c r="L86">
        <v>19.809999999999999</v>
      </c>
    </row>
    <row r="87" spans="1:12" x14ac:dyDescent="0.3">
      <c r="A87" t="s">
        <v>96</v>
      </c>
      <c r="B87" s="1">
        <v>45232</v>
      </c>
      <c r="C87">
        <v>2</v>
      </c>
      <c r="D87">
        <v>11</v>
      </c>
      <c r="E87">
        <v>2023</v>
      </c>
      <c r="F87" t="s">
        <v>230</v>
      </c>
      <c r="G87" t="s">
        <v>8</v>
      </c>
      <c r="H87">
        <v>51</v>
      </c>
      <c r="I87" t="s">
        <v>208</v>
      </c>
      <c r="J87">
        <v>799.07</v>
      </c>
      <c r="K87">
        <v>0</v>
      </c>
      <c r="L87">
        <v>8.07</v>
      </c>
    </row>
    <row r="88" spans="1:12" x14ac:dyDescent="0.3">
      <c r="A88" t="s">
        <v>97</v>
      </c>
      <c r="B88" s="1">
        <v>45242</v>
      </c>
      <c r="C88">
        <v>12</v>
      </c>
      <c r="D88">
        <v>11</v>
      </c>
      <c r="E88">
        <v>2023</v>
      </c>
      <c r="F88" t="s">
        <v>230</v>
      </c>
      <c r="G88" t="s">
        <v>8</v>
      </c>
      <c r="H88">
        <v>31</v>
      </c>
      <c r="I88" t="s">
        <v>209</v>
      </c>
      <c r="J88">
        <v>1648.11</v>
      </c>
      <c r="K88">
        <v>0</v>
      </c>
      <c r="L88">
        <v>9.64</v>
      </c>
    </row>
    <row r="89" spans="1:12" x14ac:dyDescent="0.3">
      <c r="A89" t="s">
        <v>98</v>
      </c>
      <c r="B89" s="1">
        <v>44962</v>
      </c>
      <c r="C89">
        <v>5</v>
      </c>
      <c r="D89">
        <v>2</v>
      </c>
      <c r="E89">
        <v>2023</v>
      </c>
      <c r="F89" t="s">
        <v>232</v>
      </c>
      <c r="G89" t="s">
        <v>17</v>
      </c>
      <c r="H89">
        <v>62</v>
      </c>
      <c r="I89" t="s">
        <v>207</v>
      </c>
      <c r="J89">
        <v>3251.76</v>
      </c>
      <c r="K89">
        <v>0</v>
      </c>
      <c r="L89">
        <v>16.37</v>
      </c>
    </row>
    <row r="90" spans="1:12" x14ac:dyDescent="0.3">
      <c r="A90" t="s">
        <v>99</v>
      </c>
      <c r="B90" s="1">
        <v>45099</v>
      </c>
      <c r="C90">
        <v>22</v>
      </c>
      <c r="D90">
        <v>6</v>
      </c>
      <c r="E90">
        <v>2023</v>
      </c>
      <c r="F90" t="s">
        <v>228</v>
      </c>
      <c r="G90" t="s">
        <v>24</v>
      </c>
      <c r="H90">
        <v>44</v>
      </c>
      <c r="I90" t="s">
        <v>206</v>
      </c>
      <c r="J90">
        <v>2963.98</v>
      </c>
      <c r="K90">
        <v>0</v>
      </c>
      <c r="L90">
        <v>11.29</v>
      </c>
    </row>
    <row r="91" spans="1:12" x14ac:dyDescent="0.3">
      <c r="A91" t="s">
        <v>100</v>
      </c>
      <c r="B91" s="1">
        <v>44946</v>
      </c>
      <c r="C91">
        <v>20</v>
      </c>
      <c r="D91">
        <v>1</v>
      </c>
      <c r="E91">
        <v>2023</v>
      </c>
      <c r="F91" t="s">
        <v>233</v>
      </c>
      <c r="G91" t="s">
        <v>24</v>
      </c>
      <c r="H91">
        <v>26</v>
      </c>
      <c r="I91" t="s">
        <v>209</v>
      </c>
      <c r="J91">
        <v>2537.94</v>
      </c>
      <c r="K91">
        <v>0</v>
      </c>
      <c r="L91">
        <v>12.35</v>
      </c>
    </row>
    <row r="92" spans="1:12" x14ac:dyDescent="0.3">
      <c r="A92" t="s">
        <v>101</v>
      </c>
      <c r="B92" s="1">
        <v>45247</v>
      </c>
      <c r="C92">
        <v>17</v>
      </c>
      <c r="D92">
        <v>11</v>
      </c>
      <c r="E92">
        <v>2023</v>
      </c>
      <c r="F92" t="s">
        <v>230</v>
      </c>
      <c r="G92" t="s">
        <v>17</v>
      </c>
      <c r="H92">
        <v>43</v>
      </c>
      <c r="I92" t="s">
        <v>206</v>
      </c>
      <c r="J92">
        <v>1496.1</v>
      </c>
      <c r="K92">
        <v>1</v>
      </c>
      <c r="L92">
        <v>10.84</v>
      </c>
    </row>
    <row r="93" spans="1:12" x14ac:dyDescent="0.3">
      <c r="A93" t="s">
        <v>102</v>
      </c>
      <c r="B93" s="1">
        <v>45190</v>
      </c>
      <c r="C93">
        <v>21</v>
      </c>
      <c r="D93">
        <v>9</v>
      </c>
      <c r="E93">
        <v>2023</v>
      </c>
      <c r="F93" t="s">
        <v>227</v>
      </c>
      <c r="G93" t="s">
        <v>8</v>
      </c>
      <c r="H93">
        <v>64</v>
      </c>
      <c r="I93" t="s">
        <v>207</v>
      </c>
      <c r="J93">
        <v>1853.22</v>
      </c>
      <c r="K93">
        <v>1</v>
      </c>
      <c r="L93">
        <v>12.18</v>
      </c>
    </row>
    <row r="94" spans="1:12" x14ac:dyDescent="0.3">
      <c r="A94" t="s">
        <v>103</v>
      </c>
      <c r="B94" s="1">
        <v>45068</v>
      </c>
      <c r="C94">
        <v>22</v>
      </c>
      <c r="D94">
        <v>5</v>
      </c>
      <c r="E94">
        <v>2023</v>
      </c>
      <c r="F94" t="s">
        <v>195</v>
      </c>
      <c r="G94" t="s">
        <v>8</v>
      </c>
      <c r="H94">
        <v>39</v>
      </c>
      <c r="I94" t="s">
        <v>206</v>
      </c>
      <c r="J94">
        <v>1736.58</v>
      </c>
      <c r="K94">
        <v>0</v>
      </c>
      <c r="L94">
        <v>10.81</v>
      </c>
    </row>
    <row r="95" spans="1:12" x14ac:dyDescent="0.3">
      <c r="A95" t="s">
        <v>104</v>
      </c>
      <c r="B95" s="1">
        <v>45069</v>
      </c>
      <c r="C95">
        <v>23</v>
      </c>
      <c r="D95">
        <v>5</v>
      </c>
      <c r="E95">
        <v>2023</v>
      </c>
      <c r="F95" t="s">
        <v>195</v>
      </c>
      <c r="G95" t="s">
        <v>17</v>
      </c>
      <c r="H95">
        <v>64</v>
      </c>
      <c r="I95" t="s">
        <v>207</v>
      </c>
      <c r="J95">
        <v>1623.77</v>
      </c>
      <c r="K95">
        <v>0</v>
      </c>
      <c r="L95">
        <v>5.44</v>
      </c>
    </row>
    <row r="96" spans="1:12" x14ac:dyDescent="0.3">
      <c r="A96" t="s">
        <v>105</v>
      </c>
      <c r="B96" s="1">
        <v>45018</v>
      </c>
      <c r="C96">
        <v>2</v>
      </c>
      <c r="D96">
        <v>4</v>
      </c>
      <c r="E96">
        <v>2023</v>
      </c>
      <c r="F96" t="s">
        <v>225</v>
      </c>
      <c r="G96" t="s">
        <v>11</v>
      </c>
      <c r="H96">
        <v>47</v>
      </c>
      <c r="I96" t="s">
        <v>208</v>
      </c>
      <c r="J96">
        <v>1678.04</v>
      </c>
      <c r="K96">
        <v>0</v>
      </c>
      <c r="L96">
        <v>9.93</v>
      </c>
    </row>
    <row r="97" spans="1:12" x14ac:dyDescent="0.3">
      <c r="A97" t="s">
        <v>106</v>
      </c>
      <c r="B97" s="1">
        <v>45248</v>
      </c>
      <c r="C97">
        <v>18</v>
      </c>
      <c r="D97">
        <v>11</v>
      </c>
      <c r="E97">
        <v>2023</v>
      </c>
      <c r="F97" t="s">
        <v>230</v>
      </c>
      <c r="G97" t="s">
        <v>24</v>
      </c>
      <c r="H97">
        <v>42</v>
      </c>
      <c r="I97" t="s">
        <v>206</v>
      </c>
      <c r="J97">
        <v>1621.26</v>
      </c>
      <c r="K97">
        <v>0</v>
      </c>
      <c r="L97">
        <v>6.95</v>
      </c>
    </row>
    <row r="98" spans="1:12" x14ac:dyDescent="0.3">
      <c r="A98" t="s">
        <v>107</v>
      </c>
      <c r="B98" s="1">
        <v>45214</v>
      </c>
      <c r="C98">
        <v>15</v>
      </c>
      <c r="D98">
        <v>10</v>
      </c>
      <c r="E98">
        <v>2023</v>
      </c>
      <c r="F98" t="s">
        <v>231</v>
      </c>
      <c r="G98" t="s">
        <v>8</v>
      </c>
      <c r="H98">
        <v>34</v>
      </c>
      <c r="I98" t="s">
        <v>209</v>
      </c>
      <c r="J98">
        <v>2761.51</v>
      </c>
      <c r="K98">
        <v>0</v>
      </c>
      <c r="L98">
        <v>4.2699999999999996</v>
      </c>
    </row>
    <row r="99" spans="1:12" x14ac:dyDescent="0.3">
      <c r="A99" t="s">
        <v>108</v>
      </c>
      <c r="B99" s="1">
        <v>45141</v>
      </c>
      <c r="C99">
        <v>3</v>
      </c>
      <c r="D99">
        <v>8</v>
      </c>
      <c r="E99">
        <v>2023</v>
      </c>
      <c r="F99" t="s">
        <v>234</v>
      </c>
      <c r="G99" t="s">
        <v>8</v>
      </c>
      <c r="H99">
        <v>43</v>
      </c>
      <c r="I99" t="s">
        <v>206</v>
      </c>
      <c r="J99">
        <v>1156.29</v>
      </c>
      <c r="K99">
        <v>0</v>
      </c>
      <c r="L99">
        <v>10.31</v>
      </c>
    </row>
    <row r="100" spans="1:12" x14ac:dyDescent="0.3">
      <c r="A100" t="s">
        <v>109</v>
      </c>
      <c r="B100" s="1">
        <v>45268</v>
      </c>
      <c r="C100">
        <v>8</v>
      </c>
      <c r="D100">
        <v>12</v>
      </c>
      <c r="E100">
        <v>2023</v>
      </c>
      <c r="F100" t="s">
        <v>226</v>
      </c>
      <c r="G100" t="s">
        <v>8</v>
      </c>
      <c r="H100">
        <v>53</v>
      </c>
      <c r="I100" t="s">
        <v>208</v>
      </c>
      <c r="J100">
        <v>1416.42</v>
      </c>
      <c r="K100">
        <v>0</v>
      </c>
      <c r="L100">
        <v>6.1</v>
      </c>
    </row>
    <row r="101" spans="1:12" x14ac:dyDescent="0.3">
      <c r="A101" t="s">
        <v>110</v>
      </c>
      <c r="B101" s="1">
        <v>44977</v>
      </c>
      <c r="C101">
        <v>20</v>
      </c>
      <c r="D101">
        <v>2</v>
      </c>
      <c r="E101">
        <v>2023</v>
      </c>
      <c r="F101" t="s">
        <v>232</v>
      </c>
      <c r="G101" t="s">
        <v>8</v>
      </c>
      <c r="H101">
        <v>18</v>
      </c>
      <c r="I101" t="s">
        <v>210</v>
      </c>
      <c r="J101">
        <v>733.27</v>
      </c>
      <c r="K101">
        <v>1</v>
      </c>
      <c r="L101">
        <v>7.64</v>
      </c>
    </row>
    <row r="102" spans="1:12" x14ac:dyDescent="0.3">
      <c r="A102" t="s">
        <v>111</v>
      </c>
      <c r="B102" s="1">
        <v>45079</v>
      </c>
      <c r="C102">
        <v>2</v>
      </c>
      <c r="D102">
        <v>6</v>
      </c>
      <c r="E102">
        <v>2023</v>
      </c>
      <c r="F102" t="s">
        <v>228</v>
      </c>
      <c r="G102" t="s">
        <v>8</v>
      </c>
      <c r="H102">
        <v>25</v>
      </c>
      <c r="I102" t="s">
        <v>209</v>
      </c>
      <c r="J102">
        <v>3132.39</v>
      </c>
      <c r="K102">
        <v>0</v>
      </c>
      <c r="L102">
        <v>15.38</v>
      </c>
    </row>
    <row r="103" spans="1:12" x14ac:dyDescent="0.3">
      <c r="A103" t="s">
        <v>112</v>
      </c>
      <c r="B103" s="1">
        <v>45112</v>
      </c>
      <c r="C103">
        <v>5</v>
      </c>
      <c r="D103">
        <v>7</v>
      </c>
      <c r="E103">
        <v>2023</v>
      </c>
      <c r="F103" t="s">
        <v>229</v>
      </c>
      <c r="G103" t="s">
        <v>8</v>
      </c>
      <c r="H103">
        <v>42</v>
      </c>
      <c r="I103" t="s">
        <v>206</v>
      </c>
      <c r="J103">
        <v>1362.8</v>
      </c>
      <c r="K103">
        <v>0</v>
      </c>
      <c r="L103">
        <v>13.16</v>
      </c>
    </row>
    <row r="104" spans="1:12" x14ac:dyDescent="0.3">
      <c r="A104" t="s">
        <v>113</v>
      </c>
      <c r="B104" s="1">
        <v>44989</v>
      </c>
      <c r="C104">
        <v>4</v>
      </c>
      <c r="D104">
        <v>3</v>
      </c>
      <c r="E104">
        <v>2023</v>
      </c>
      <c r="F104" t="s">
        <v>224</v>
      </c>
      <c r="G104" t="s">
        <v>8</v>
      </c>
      <c r="H104">
        <v>52</v>
      </c>
      <c r="I104" t="s">
        <v>208</v>
      </c>
      <c r="J104">
        <v>2133.5650000000001</v>
      </c>
      <c r="K104">
        <v>0</v>
      </c>
      <c r="L104">
        <v>5.1100000000000003</v>
      </c>
    </row>
    <row r="105" spans="1:12" x14ac:dyDescent="0.3">
      <c r="A105" t="s">
        <v>114</v>
      </c>
      <c r="B105" s="1">
        <v>45116</v>
      </c>
      <c r="C105">
        <v>9</v>
      </c>
      <c r="D105">
        <v>7</v>
      </c>
      <c r="E105">
        <v>2023</v>
      </c>
      <c r="F105" t="s">
        <v>229</v>
      </c>
      <c r="G105" t="s">
        <v>11</v>
      </c>
      <c r="H105">
        <v>32</v>
      </c>
      <c r="I105" t="s">
        <v>209</v>
      </c>
      <c r="J105">
        <v>2380.2600000000002</v>
      </c>
      <c r="K105">
        <v>0</v>
      </c>
      <c r="L105">
        <v>11.76</v>
      </c>
    </row>
    <row r="106" spans="1:12" x14ac:dyDescent="0.3">
      <c r="A106" t="s">
        <v>115</v>
      </c>
      <c r="B106" s="1">
        <v>45051</v>
      </c>
      <c r="C106">
        <v>5</v>
      </c>
      <c r="D106">
        <v>5</v>
      </c>
      <c r="E106">
        <v>2023</v>
      </c>
      <c r="F106" t="s">
        <v>195</v>
      </c>
      <c r="G106" t="s">
        <v>17</v>
      </c>
      <c r="H106">
        <v>64</v>
      </c>
      <c r="I106" t="s">
        <v>207</v>
      </c>
      <c r="J106">
        <v>3055.07</v>
      </c>
      <c r="K106">
        <v>1</v>
      </c>
      <c r="L106">
        <v>10.66</v>
      </c>
    </row>
    <row r="107" spans="1:12" x14ac:dyDescent="0.3">
      <c r="A107" t="s">
        <v>116</v>
      </c>
      <c r="B107" s="1">
        <v>45076</v>
      </c>
      <c r="C107">
        <v>30</v>
      </c>
      <c r="D107">
        <v>5</v>
      </c>
      <c r="E107">
        <v>2023</v>
      </c>
      <c r="F107" t="s">
        <v>195</v>
      </c>
      <c r="G107" t="s">
        <v>11</v>
      </c>
      <c r="H107">
        <v>39</v>
      </c>
      <c r="I107" t="s">
        <v>206</v>
      </c>
      <c r="J107">
        <v>1831.99</v>
      </c>
      <c r="K107">
        <v>0</v>
      </c>
      <c r="L107">
        <v>18.510000000000002</v>
      </c>
    </row>
    <row r="108" spans="1:12" x14ac:dyDescent="0.3">
      <c r="A108" t="s">
        <v>117</v>
      </c>
      <c r="B108" s="1">
        <v>45240</v>
      </c>
      <c r="C108">
        <v>10</v>
      </c>
      <c r="D108">
        <v>11</v>
      </c>
      <c r="E108">
        <v>2023</v>
      </c>
      <c r="F108" t="s">
        <v>230</v>
      </c>
      <c r="G108" t="s">
        <v>24</v>
      </c>
      <c r="H108">
        <v>31</v>
      </c>
      <c r="I108" t="s">
        <v>209</v>
      </c>
      <c r="J108">
        <v>1241.97</v>
      </c>
      <c r="K108">
        <v>0</v>
      </c>
      <c r="L108">
        <v>16.920000000000002</v>
      </c>
    </row>
    <row r="109" spans="1:12" x14ac:dyDescent="0.3">
      <c r="A109" t="s">
        <v>118</v>
      </c>
      <c r="B109" s="1">
        <v>44984</v>
      </c>
      <c r="C109">
        <v>27</v>
      </c>
      <c r="D109">
        <v>2</v>
      </c>
      <c r="E109">
        <v>2023</v>
      </c>
      <c r="F109" t="s">
        <v>232</v>
      </c>
      <c r="G109" t="s">
        <v>8</v>
      </c>
      <c r="H109">
        <v>43</v>
      </c>
      <c r="I109" t="s">
        <v>206</v>
      </c>
      <c r="J109">
        <v>755.4</v>
      </c>
      <c r="K109">
        <v>1</v>
      </c>
      <c r="L109">
        <v>2.33</v>
      </c>
    </row>
    <row r="110" spans="1:12" x14ac:dyDescent="0.3">
      <c r="A110" t="s">
        <v>119</v>
      </c>
      <c r="B110" s="1">
        <v>45268</v>
      </c>
      <c r="C110">
        <v>8</v>
      </c>
      <c r="D110">
        <v>12</v>
      </c>
      <c r="E110">
        <v>2023</v>
      </c>
      <c r="F110" t="s">
        <v>226</v>
      </c>
      <c r="G110" t="s">
        <v>8</v>
      </c>
      <c r="H110">
        <v>45</v>
      </c>
      <c r="I110" t="s">
        <v>208</v>
      </c>
      <c r="J110">
        <v>-227.71</v>
      </c>
      <c r="K110">
        <v>0</v>
      </c>
      <c r="L110">
        <v>14.31</v>
      </c>
    </row>
    <row r="111" spans="1:12" x14ac:dyDescent="0.3">
      <c r="A111" t="s">
        <v>120</v>
      </c>
      <c r="B111" s="1">
        <v>45231</v>
      </c>
      <c r="C111">
        <v>1</v>
      </c>
      <c r="D111">
        <v>11</v>
      </c>
      <c r="E111">
        <v>2023</v>
      </c>
      <c r="F111" t="s">
        <v>230</v>
      </c>
      <c r="G111" t="s">
        <v>17</v>
      </c>
      <c r="H111">
        <v>40</v>
      </c>
      <c r="I111" t="s">
        <v>206</v>
      </c>
      <c r="J111">
        <v>2129.08</v>
      </c>
      <c r="K111">
        <v>0</v>
      </c>
      <c r="L111">
        <v>16.329999999999998</v>
      </c>
    </row>
    <row r="112" spans="1:12" x14ac:dyDescent="0.3">
      <c r="A112" t="s">
        <v>121</v>
      </c>
      <c r="B112" s="1">
        <v>45106</v>
      </c>
      <c r="C112">
        <v>29</v>
      </c>
      <c r="D112">
        <v>6</v>
      </c>
      <c r="E112">
        <v>2023</v>
      </c>
      <c r="F112" t="s">
        <v>228</v>
      </c>
      <c r="G112" t="s">
        <v>8</v>
      </c>
      <c r="H112">
        <v>31</v>
      </c>
      <c r="I112" t="s">
        <v>209</v>
      </c>
      <c r="J112">
        <v>2620.38</v>
      </c>
      <c r="K112">
        <v>1</v>
      </c>
      <c r="L112">
        <v>12.8</v>
      </c>
    </row>
    <row r="113" spans="1:12" x14ac:dyDescent="0.3">
      <c r="A113" t="s">
        <v>122</v>
      </c>
      <c r="B113" s="1">
        <v>45096</v>
      </c>
      <c r="C113">
        <v>19</v>
      </c>
      <c r="D113">
        <v>6</v>
      </c>
      <c r="E113">
        <v>2023</v>
      </c>
      <c r="F113" t="s">
        <v>228</v>
      </c>
      <c r="G113" t="s">
        <v>24</v>
      </c>
      <c r="H113">
        <v>41</v>
      </c>
      <c r="I113" t="s">
        <v>206</v>
      </c>
      <c r="J113">
        <v>2377.35</v>
      </c>
      <c r="K113">
        <v>0</v>
      </c>
      <c r="L113">
        <v>8.32</v>
      </c>
    </row>
    <row r="114" spans="1:12" x14ac:dyDescent="0.3">
      <c r="A114" t="s">
        <v>123</v>
      </c>
      <c r="B114" s="1">
        <v>45252</v>
      </c>
      <c r="C114">
        <v>22</v>
      </c>
      <c r="D114">
        <v>11</v>
      </c>
      <c r="E114">
        <v>2023</v>
      </c>
      <c r="F114" t="s">
        <v>230</v>
      </c>
      <c r="G114" t="s">
        <v>8</v>
      </c>
      <c r="H114">
        <v>19</v>
      </c>
      <c r="I114" t="s">
        <v>210</v>
      </c>
      <c r="J114">
        <v>776.19</v>
      </c>
      <c r="K114">
        <v>0</v>
      </c>
      <c r="L114">
        <v>22.07</v>
      </c>
    </row>
    <row r="115" spans="1:12" x14ac:dyDescent="0.3">
      <c r="A115" t="s">
        <v>124</v>
      </c>
      <c r="B115" s="1">
        <v>44980</v>
      </c>
      <c r="C115">
        <v>23</v>
      </c>
      <c r="D115">
        <v>2</v>
      </c>
      <c r="E115">
        <v>2023</v>
      </c>
      <c r="F115" t="s">
        <v>232</v>
      </c>
      <c r="G115" t="s">
        <v>8</v>
      </c>
      <c r="H115">
        <v>43</v>
      </c>
      <c r="I115" t="s">
        <v>206</v>
      </c>
      <c r="J115">
        <v>1441.43</v>
      </c>
      <c r="K115">
        <v>0</v>
      </c>
      <c r="L115">
        <v>19.88</v>
      </c>
    </row>
    <row r="116" spans="1:12" x14ac:dyDescent="0.3">
      <c r="A116" t="s">
        <v>125</v>
      </c>
      <c r="B116" s="1">
        <v>45027</v>
      </c>
      <c r="C116">
        <v>11</v>
      </c>
      <c r="D116">
        <v>4</v>
      </c>
      <c r="E116">
        <v>2023</v>
      </c>
      <c r="F116" t="s">
        <v>225</v>
      </c>
      <c r="G116" t="s">
        <v>17</v>
      </c>
      <c r="H116">
        <v>31</v>
      </c>
      <c r="I116" t="s">
        <v>209</v>
      </c>
      <c r="J116">
        <v>1274.48</v>
      </c>
      <c r="K116">
        <v>0</v>
      </c>
      <c r="L116">
        <v>16.760000000000002</v>
      </c>
    </row>
    <row r="117" spans="1:12" x14ac:dyDescent="0.3">
      <c r="A117" t="s">
        <v>126</v>
      </c>
      <c r="B117" s="1">
        <v>45190</v>
      </c>
      <c r="C117">
        <v>21</v>
      </c>
      <c r="D117">
        <v>9</v>
      </c>
      <c r="E117">
        <v>2023</v>
      </c>
      <c r="F117" t="s">
        <v>227</v>
      </c>
      <c r="G117" t="s">
        <v>11</v>
      </c>
      <c r="H117">
        <v>24</v>
      </c>
      <c r="I117" t="s">
        <v>210</v>
      </c>
      <c r="J117">
        <v>1423.49</v>
      </c>
      <c r="K117">
        <v>0</v>
      </c>
      <c r="L117">
        <v>12.32</v>
      </c>
    </row>
    <row r="118" spans="1:12" x14ac:dyDescent="0.3">
      <c r="A118" t="s">
        <v>127</v>
      </c>
      <c r="G118" t="s">
        <v>24</v>
      </c>
      <c r="H118">
        <v>20</v>
      </c>
      <c r="I118" t="s">
        <v>210</v>
      </c>
      <c r="J118">
        <v>2062.73</v>
      </c>
      <c r="K118">
        <v>1</v>
      </c>
      <c r="L118">
        <v>7.1</v>
      </c>
    </row>
    <row r="119" spans="1:12" x14ac:dyDescent="0.3">
      <c r="A119" t="s">
        <v>128</v>
      </c>
      <c r="B119" s="1">
        <v>44986</v>
      </c>
      <c r="C119">
        <v>1</v>
      </c>
      <c r="D119">
        <v>3</v>
      </c>
      <c r="E119">
        <v>2023</v>
      </c>
      <c r="F119" t="s">
        <v>224</v>
      </c>
      <c r="G119" t="s">
        <v>8</v>
      </c>
      <c r="H119">
        <v>64</v>
      </c>
      <c r="I119" t="s">
        <v>207</v>
      </c>
      <c r="J119">
        <v>812.24</v>
      </c>
      <c r="K119">
        <v>0</v>
      </c>
      <c r="L119">
        <v>9.8800000000000008</v>
      </c>
    </row>
    <row r="120" spans="1:12" x14ac:dyDescent="0.3">
      <c r="A120" t="s">
        <v>129</v>
      </c>
      <c r="B120" s="1">
        <v>45034</v>
      </c>
      <c r="C120">
        <v>18</v>
      </c>
      <c r="D120">
        <v>4</v>
      </c>
      <c r="E120">
        <v>2023</v>
      </c>
      <c r="F120" t="s">
        <v>225</v>
      </c>
      <c r="G120" t="s">
        <v>11</v>
      </c>
      <c r="H120">
        <v>40</v>
      </c>
      <c r="I120" t="s">
        <v>206</v>
      </c>
      <c r="J120">
        <v>1970.37</v>
      </c>
      <c r="K120">
        <v>0</v>
      </c>
      <c r="L120">
        <v>8.89</v>
      </c>
    </row>
    <row r="121" spans="1:12" x14ac:dyDescent="0.3">
      <c r="A121" t="s">
        <v>130</v>
      </c>
      <c r="B121" s="1">
        <v>44931</v>
      </c>
      <c r="C121">
        <v>5</v>
      </c>
      <c r="D121">
        <v>1</v>
      </c>
      <c r="E121">
        <v>2023</v>
      </c>
      <c r="F121" t="s">
        <v>233</v>
      </c>
      <c r="G121" t="s">
        <v>24</v>
      </c>
      <c r="H121">
        <v>63</v>
      </c>
      <c r="I121" t="s">
        <v>207</v>
      </c>
      <c r="J121">
        <v>2343.56</v>
      </c>
      <c r="K121">
        <v>0</v>
      </c>
      <c r="L121">
        <v>3.93</v>
      </c>
    </row>
    <row r="122" spans="1:12" x14ac:dyDescent="0.3">
      <c r="A122" t="s">
        <v>131</v>
      </c>
      <c r="B122" s="1">
        <v>45029</v>
      </c>
      <c r="C122">
        <v>13</v>
      </c>
      <c r="D122">
        <v>4</v>
      </c>
      <c r="E122">
        <v>2023</v>
      </c>
      <c r="F122" t="s">
        <v>225</v>
      </c>
      <c r="G122" t="s">
        <v>11</v>
      </c>
      <c r="H122">
        <v>60</v>
      </c>
      <c r="I122" t="s">
        <v>207</v>
      </c>
      <c r="J122">
        <v>2885.86</v>
      </c>
      <c r="K122">
        <v>0</v>
      </c>
      <c r="L122">
        <v>13.25</v>
      </c>
    </row>
    <row r="123" spans="1:12" x14ac:dyDescent="0.3">
      <c r="A123" t="s">
        <v>132</v>
      </c>
      <c r="B123" s="1">
        <v>45122</v>
      </c>
      <c r="C123">
        <v>15</v>
      </c>
      <c r="D123">
        <v>7</v>
      </c>
      <c r="E123">
        <v>2023</v>
      </c>
      <c r="F123" t="s">
        <v>229</v>
      </c>
      <c r="G123" t="s">
        <v>11</v>
      </c>
      <c r="H123">
        <v>64</v>
      </c>
      <c r="I123" t="s">
        <v>207</v>
      </c>
      <c r="J123">
        <v>2140.77</v>
      </c>
      <c r="K123">
        <v>0</v>
      </c>
      <c r="L123">
        <v>17.84</v>
      </c>
    </row>
    <row r="124" spans="1:12" x14ac:dyDescent="0.3">
      <c r="A124" t="s">
        <v>133</v>
      </c>
      <c r="B124" s="1">
        <v>45188</v>
      </c>
      <c r="C124">
        <v>19</v>
      </c>
      <c r="D124">
        <v>9</v>
      </c>
      <c r="E124">
        <v>2023</v>
      </c>
      <c r="F124" t="s">
        <v>227</v>
      </c>
      <c r="G124" t="s">
        <v>11</v>
      </c>
      <c r="H124">
        <v>62</v>
      </c>
      <c r="I124" t="s">
        <v>207</v>
      </c>
      <c r="J124">
        <v>2133.5650000000001</v>
      </c>
      <c r="K124">
        <v>0</v>
      </c>
      <c r="L124">
        <v>8.51</v>
      </c>
    </row>
    <row r="125" spans="1:12" x14ac:dyDescent="0.3">
      <c r="A125" t="s">
        <v>134</v>
      </c>
      <c r="B125" s="1">
        <v>45291</v>
      </c>
      <c r="C125">
        <v>31</v>
      </c>
      <c r="D125">
        <v>12</v>
      </c>
      <c r="E125">
        <v>2023</v>
      </c>
      <c r="F125" t="s">
        <v>226</v>
      </c>
      <c r="G125" t="s">
        <v>8</v>
      </c>
      <c r="H125">
        <v>35</v>
      </c>
      <c r="I125" t="s">
        <v>206</v>
      </c>
      <c r="J125">
        <v>2119.11</v>
      </c>
      <c r="K125">
        <v>0</v>
      </c>
      <c r="L125">
        <v>20.82</v>
      </c>
    </row>
    <row r="126" spans="1:12" x14ac:dyDescent="0.3">
      <c r="A126" t="s">
        <v>135</v>
      </c>
      <c r="B126" s="1">
        <v>45276</v>
      </c>
      <c r="C126">
        <v>16</v>
      </c>
      <c r="D126">
        <v>12</v>
      </c>
      <c r="E126">
        <v>2023</v>
      </c>
      <c r="F126" t="s">
        <v>226</v>
      </c>
      <c r="G126" t="s">
        <v>11</v>
      </c>
      <c r="H126">
        <v>55</v>
      </c>
      <c r="I126" t="s">
        <v>207</v>
      </c>
      <c r="J126">
        <v>1151.79</v>
      </c>
      <c r="K126">
        <v>0</v>
      </c>
      <c r="L126">
        <v>2.21</v>
      </c>
    </row>
    <row r="127" spans="1:12" x14ac:dyDescent="0.3">
      <c r="A127" t="s">
        <v>136</v>
      </c>
      <c r="B127" s="1">
        <v>44973</v>
      </c>
      <c r="C127">
        <v>16</v>
      </c>
      <c r="D127">
        <v>2</v>
      </c>
      <c r="E127">
        <v>2023</v>
      </c>
      <c r="F127" t="s">
        <v>232</v>
      </c>
      <c r="G127" t="s">
        <v>11</v>
      </c>
      <c r="H127">
        <v>52</v>
      </c>
      <c r="I127" t="s">
        <v>208</v>
      </c>
      <c r="J127">
        <v>1105.6400000000001</v>
      </c>
      <c r="K127">
        <v>0</v>
      </c>
      <c r="L127">
        <v>15.27</v>
      </c>
    </row>
    <row r="128" spans="1:12" x14ac:dyDescent="0.3">
      <c r="A128" t="s">
        <v>137</v>
      </c>
      <c r="B128" s="1">
        <v>45281</v>
      </c>
      <c r="C128">
        <v>21</v>
      </c>
      <c r="D128">
        <v>12</v>
      </c>
      <c r="E128">
        <v>2023</v>
      </c>
      <c r="F128" t="s">
        <v>226</v>
      </c>
      <c r="G128" t="s">
        <v>24</v>
      </c>
      <c r="H128">
        <v>32</v>
      </c>
      <c r="I128" t="s">
        <v>209</v>
      </c>
      <c r="J128">
        <v>909.84</v>
      </c>
      <c r="K128">
        <v>0</v>
      </c>
      <c r="L128">
        <v>18.36</v>
      </c>
    </row>
    <row r="129" spans="1:12" x14ac:dyDescent="0.3">
      <c r="A129" t="s">
        <v>138</v>
      </c>
      <c r="B129" s="1">
        <v>45237</v>
      </c>
      <c r="C129">
        <v>7</v>
      </c>
      <c r="D129">
        <v>11</v>
      </c>
      <c r="E129">
        <v>2023</v>
      </c>
      <c r="F129" t="s">
        <v>230</v>
      </c>
      <c r="G129" t="s">
        <v>8</v>
      </c>
      <c r="H129">
        <v>42</v>
      </c>
      <c r="I129" t="s">
        <v>206</v>
      </c>
      <c r="J129">
        <v>471</v>
      </c>
      <c r="K129">
        <v>0</v>
      </c>
      <c r="L129">
        <v>8.98</v>
      </c>
    </row>
    <row r="130" spans="1:12" x14ac:dyDescent="0.3">
      <c r="A130" t="s">
        <v>139</v>
      </c>
      <c r="B130" s="1">
        <v>45234</v>
      </c>
      <c r="C130">
        <v>4</v>
      </c>
      <c r="D130">
        <v>11</v>
      </c>
      <c r="E130">
        <v>2023</v>
      </c>
      <c r="F130" t="s">
        <v>230</v>
      </c>
      <c r="G130" t="s">
        <v>8</v>
      </c>
      <c r="H130">
        <v>54</v>
      </c>
      <c r="I130" t="s">
        <v>208</v>
      </c>
      <c r="J130">
        <v>1546.27</v>
      </c>
      <c r="K130">
        <v>0</v>
      </c>
      <c r="L130">
        <v>9.07</v>
      </c>
    </row>
    <row r="131" spans="1:12" x14ac:dyDescent="0.3">
      <c r="A131" t="s">
        <v>140</v>
      </c>
      <c r="B131" s="1">
        <v>45195</v>
      </c>
      <c r="C131">
        <v>26</v>
      </c>
      <c r="D131">
        <v>9</v>
      </c>
      <c r="E131">
        <v>2023</v>
      </c>
      <c r="F131" t="s">
        <v>227</v>
      </c>
      <c r="G131" t="s">
        <v>17</v>
      </c>
      <c r="H131">
        <v>27</v>
      </c>
      <c r="I131" t="s">
        <v>209</v>
      </c>
      <c r="J131">
        <v>3805.19</v>
      </c>
      <c r="K131">
        <v>0</v>
      </c>
      <c r="L131">
        <v>12.53</v>
      </c>
    </row>
    <row r="132" spans="1:12" x14ac:dyDescent="0.3">
      <c r="A132" t="s">
        <v>141</v>
      </c>
      <c r="B132" s="1">
        <v>45050</v>
      </c>
      <c r="C132">
        <v>4</v>
      </c>
      <c r="D132">
        <v>5</v>
      </c>
      <c r="E132">
        <v>2023</v>
      </c>
      <c r="F132" t="s">
        <v>195</v>
      </c>
      <c r="G132" t="s">
        <v>8</v>
      </c>
      <c r="H132">
        <v>56</v>
      </c>
      <c r="I132" t="s">
        <v>207</v>
      </c>
      <c r="J132">
        <v>1541.13</v>
      </c>
      <c r="K132">
        <v>0</v>
      </c>
      <c r="L132">
        <v>0.01</v>
      </c>
    </row>
    <row r="133" spans="1:12" x14ac:dyDescent="0.3">
      <c r="A133" t="s">
        <v>142</v>
      </c>
      <c r="B133" s="1">
        <v>45084</v>
      </c>
      <c r="C133">
        <v>7</v>
      </c>
      <c r="D133">
        <v>6</v>
      </c>
      <c r="E133">
        <v>2023</v>
      </c>
      <c r="F133" t="s">
        <v>228</v>
      </c>
      <c r="G133" t="s">
        <v>8</v>
      </c>
      <c r="H133">
        <v>56</v>
      </c>
      <c r="I133" t="s">
        <v>207</v>
      </c>
      <c r="J133">
        <v>1684.33</v>
      </c>
      <c r="K133">
        <v>1</v>
      </c>
      <c r="L133">
        <v>9.93</v>
      </c>
    </row>
    <row r="134" spans="1:12" x14ac:dyDescent="0.3">
      <c r="A134" t="s">
        <v>143</v>
      </c>
      <c r="B134" s="1">
        <v>45073</v>
      </c>
      <c r="C134">
        <v>27</v>
      </c>
      <c r="D134">
        <v>5</v>
      </c>
      <c r="E134">
        <v>2023</v>
      </c>
      <c r="F134" t="s">
        <v>195</v>
      </c>
      <c r="G134" t="s">
        <v>8</v>
      </c>
      <c r="H134">
        <v>39</v>
      </c>
      <c r="I134" t="s">
        <v>206</v>
      </c>
      <c r="J134">
        <v>2133.5650000000001</v>
      </c>
      <c r="K134">
        <v>1</v>
      </c>
      <c r="L134">
        <v>3.15</v>
      </c>
    </row>
    <row r="135" spans="1:12" x14ac:dyDescent="0.3">
      <c r="A135" t="s">
        <v>144</v>
      </c>
      <c r="B135" s="1">
        <v>45071</v>
      </c>
      <c r="C135">
        <v>25</v>
      </c>
      <c r="D135">
        <v>5</v>
      </c>
      <c r="E135">
        <v>2023</v>
      </c>
      <c r="F135" t="s">
        <v>195</v>
      </c>
      <c r="G135" t="s">
        <v>8</v>
      </c>
      <c r="H135">
        <v>43</v>
      </c>
      <c r="I135" t="s">
        <v>206</v>
      </c>
      <c r="J135">
        <v>2560.75</v>
      </c>
      <c r="K135">
        <v>0</v>
      </c>
      <c r="L135">
        <v>7.63</v>
      </c>
    </row>
    <row r="136" spans="1:12" x14ac:dyDescent="0.3">
      <c r="A136" t="s">
        <v>145</v>
      </c>
      <c r="B136" s="1">
        <v>45046</v>
      </c>
      <c r="C136">
        <v>30</v>
      </c>
      <c r="D136">
        <v>4</v>
      </c>
      <c r="E136">
        <v>2023</v>
      </c>
      <c r="F136" t="s">
        <v>225</v>
      </c>
      <c r="G136" t="s">
        <v>8</v>
      </c>
      <c r="H136">
        <v>61</v>
      </c>
      <c r="I136" t="s">
        <v>207</v>
      </c>
      <c r="J136">
        <v>2187.85</v>
      </c>
      <c r="K136">
        <v>0</v>
      </c>
      <c r="L136">
        <v>3.28</v>
      </c>
    </row>
    <row r="137" spans="1:12" x14ac:dyDescent="0.3">
      <c r="A137" t="s">
        <v>146</v>
      </c>
      <c r="B137" s="1">
        <v>45245</v>
      </c>
      <c r="C137">
        <v>15</v>
      </c>
      <c r="D137">
        <v>11</v>
      </c>
      <c r="E137">
        <v>2023</v>
      </c>
      <c r="F137" t="s">
        <v>230</v>
      </c>
      <c r="G137" t="s">
        <v>11</v>
      </c>
      <c r="H137">
        <v>42</v>
      </c>
      <c r="I137" t="s">
        <v>206</v>
      </c>
      <c r="J137">
        <v>3454.42</v>
      </c>
      <c r="K137">
        <v>1</v>
      </c>
      <c r="L137">
        <v>8.15</v>
      </c>
    </row>
    <row r="138" spans="1:12" x14ac:dyDescent="0.3">
      <c r="A138" t="s">
        <v>147</v>
      </c>
      <c r="B138" s="1">
        <v>45201</v>
      </c>
      <c r="C138">
        <v>2</v>
      </c>
      <c r="D138">
        <v>10</v>
      </c>
      <c r="E138">
        <v>2023</v>
      </c>
      <c r="F138" t="s">
        <v>231</v>
      </c>
      <c r="G138" t="s">
        <v>8</v>
      </c>
      <c r="H138">
        <v>34</v>
      </c>
      <c r="I138" t="s">
        <v>209</v>
      </c>
      <c r="J138">
        <v>772.26</v>
      </c>
      <c r="K138">
        <v>0</v>
      </c>
      <c r="L138">
        <v>8.32</v>
      </c>
    </row>
    <row r="139" spans="1:12" x14ac:dyDescent="0.3">
      <c r="A139" t="s">
        <v>148</v>
      </c>
      <c r="B139" s="1">
        <v>45018</v>
      </c>
      <c r="C139">
        <v>2</v>
      </c>
      <c r="D139">
        <v>4</v>
      </c>
      <c r="E139">
        <v>2023</v>
      </c>
      <c r="F139" t="s">
        <v>225</v>
      </c>
      <c r="G139" t="s">
        <v>24</v>
      </c>
      <c r="H139">
        <v>30</v>
      </c>
      <c r="I139" t="s">
        <v>209</v>
      </c>
      <c r="J139">
        <v>4236.83</v>
      </c>
      <c r="K139">
        <v>0</v>
      </c>
      <c r="L139">
        <v>11.76</v>
      </c>
    </row>
    <row r="140" spans="1:12" x14ac:dyDescent="0.3">
      <c r="A140" t="s">
        <v>149</v>
      </c>
      <c r="B140" s="1">
        <v>44984</v>
      </c>
      <c r="C140">
        <v>27</v>
      </c>
      <c r="D140">
        <v>2</v>
      </c>
      <c r="E140">
        <v>2023</v>
      </c>
      <c r="F140" t="s">
        <v>232</v>
      </c>
      <c r="G140" t="s">
        <v>24</v>
      </c>
      <c r="H140">
        <v>37</v>
      </c>
      <c r="I140" t="s">
        <v>206</v>
      </c>
      <c r="J140">
        <v>3273.37</v>
      </c>
      <c r="K140">
        <v>0</v>
      </c>
      <c r="L140">
        <v>9.5399999999999991</v>
      </c>
    </row>
    <row r="141" spans="1:12" x14ac:dyDescent="0.3">
      <c r="A141" t="s">
        <v>150</v>
      </c>
      <c r="B141" s="1">
        <v>45272</v>
      </c>
      <c r="C141">
        <v>12</v>
      </c>
      <c r="D141">
        <v>12</v>
      </c>
      <c r="E141">
        <v>2023</v>
      </c>
      <c r="F141" t="s">
        <v>226</v>
      </c>
      <c r="G141" t="s">
        <v>11</v>
      </c>
      <c r="H141">
        <v>42</v>
      </c>
      <c r="I141" t="s">
        <v>206</v>
      </c>
      <c r="J141">
        <v>1985.66</v>
      </c>
      <c r="K141">
        <v>0</v>
      </c>
      <c r="L141">
        <v>12.51</v>
      </c>
    </row>
    <row r="142" spans="1:12" x14ac:dyDescent="0.3">
      <c r="A142" t="s">
        <v>151</v>
      </c>
      <c r="B142" s="1">
        <v>45155</v>
      </c>
      <c r="C142">
        <v>17</v>
      </c>
      <c r="D142">
        <v>8</v>
      </c>
      <c r="E142">
        <v>2023</v>
      </c>
      <c r="F142" t="s">
        <v>234</v>
      </c>
      <c r="G142" t="s">
        <v>11</v>
      </c>
      <c r="H142">
        <v>21</v>
      </c>
      <c r="I142" t="s">
        <v>210</v>
      </c>
      <c r="J142">
        <v>1761.09</v>
      </c>
      <c r="K142">
        <v>1</v>
      </c>
      <c r="L142">
        <v>11.92</v>
      </c>
    </row>
    <row r="143" spans="1:12" x14ac:dyDescent="0.3">
      <c r="A143" t="s">
        <v>152</v>
      </c>
      <c r="B143" s="1">
        <v>45043</v>
      </c>
      <c r="C143">
        <v>27</v>
      </c>
      <c r="D143">
        <v>4</v>
      </c>
      <c r="E143">
        <v>2023</v>
      </c>
      <c r="F143" t="s">
        <v>225</v>
      </c>
      <c r="G143" t="s">
        <v>8</v>
      </c>
      <c r="H143">
        <v>27</v>
      </c>
      <c r="I143" t="s">
        <v>209</v>
      </c>
      <c r="J143">
        <v>1427.35</v>
      </c>
      <c r="K143">
        <v>1</v>
      </c>
      <c r="L143">
        <v>15.16</v>
      </c>
    </row>
    <row r="144" spans="1:12" x14ac:dyDescent="0.3">
      <c r="A144" t="s">
        <v>153</v>
      </c>
      <c r="B144" s="1">
        <v>45244</v>
      </c>
      <c r="C144">
        <v>14</v>
      </c>
      <c r="D144">
        <v>11</v>
      </c>
      <c r="E144">
        <v>2023</v>
      </c>
      <c r="F144" t="s">
        <v>230</v>
      </c>
      <c r="G144" t="s">
        <v>17</v>
      </c>
      <c r="H144">
        <v>20</v>
      </c>
      <c r="I144" t="s">
        <v>210</v>
      </c>
      <c r="J144">
        <v>2087.79</v>
      </c>
      <c r="K144">
        <v>0</v>
      </c>
      <c r="L144">
        <v>14.37</v>
      </c>
    </row>
    <row r="145" spans="1:12" x14ac:dyDescent="0.3">
      <c r="A145" t="s">
        <v>154</v>
      </c>
      <c r="B145" s="1">
        <v>45205</v>
      </c>
      <c r="C145">
        <v>6</v>
      </c>
      <c r="D145">
        <v>10</v>
      </c>
      <c r="E145">
        <v>2023</v>
      </c>
      <c r="F145" t="s">
        <v>231</v>
      </c>
      <c r="G145" t="s">
        <v>11</v>
      </c>
      <c r="H145">
        <v>58</v>
      </c>
      <c r="I145" t="s">
        <v>207</v>
      </c>
      <c r="J145">
        <v>1852.85</v>
      </c>
      <c r="K145">
        <v>0</v>
      </c>
      <c r="L145">
        <v>13.84</v>
      </c>
    </row>
    <row r="146" spans="1:12" x14ac:dyDescent="0.3">
      <c r="A146" t="s">
        <v>155</v>
      </c>
      <c r="B146" s="1">
        <v>45053</v>
      </c>
      <c r="C146">
        <v>7</v>
      </c>
      <c r="D146">
        <v>5</v>
      </c>
      <c r="E146">
        <v>2023</v>
      </c>
      <c r="F146" t="s">
        <v>195</v>
      </c>
      <c r="G146" t="s">
        <v>8</v>
      </c>
      <c r="H146">
        <v>62</v>
      </c>
      <c r="I146" t="s">
        <v>207</v>
      </c>
      <c r="J146">
        <v>2411.04</v>
      </c>
      <c r="K146">
        <v>1</v>
      </c>
      <c r="L146">
        <v>25.52</v>
      </c>
    </row>
    <row r="147" spans="1:12" x14ac:dyDescent="0.3">
      <c r="A147" t="s">
        <v>156</v>
      </c>
      <c r="B147" s="1">
        <v>45055</v>
      </c>
      <c r="C147">
        <v>9</v>
      </c>
      <c r="D147">
        <v>5</v>
      </c>
      <c r="E147">
        <v>2023</v>
      </c>
      <c r="F147" t="s">
        <v>195</v>
      </c>
      <c r="G147" t="s">
        <v>24</v>
      </c>
      <c r="H147">
        <v>35</v>
      </c>
      <c r="I147" t="s">
        <v>206</v>
      </c>
      <c r="J147">
        <v>1764.51</v>
      </c>
      <c r="K147">
        <v>1</v>
      </c>
      <c r="L147">
        <v>11.74</v>
      </c>
    </row>
    <row r="148" spans="1:12" x14ac:dyDescent="0.3">
      <c r="A148" t="s">
        <v>157</v>
      </c>
      <c r="B148" s="1">
        <v>45048</v>
      </c>
      <c r="C148">
        <v>2</v>
      </c>
      <c r="D148">
        <v>5</v>
      </c>
      <c r="E148">
        <v>2023</v>
      </c>
      <c r="F148" t="s">
        <v>195</v>
      </c>
      <c r="G148" t="s">
        <v>24</v>
      </c>
      <c r="H148">
        <v>53</v>
      </c>
      <c r="I148" t="s">
        <v>208</v>
      </c>
      <c r="J148">
        <v>2100.04</v>
      </c>
      <c r="K148">
        <v>1</v>
      </c>
      <c r="L148">
        <v>12.06</v>
      </c>
    </row>
    <row r="149" spans="1:12" x14ac:dyDescent="0.3">
      <c r="A149" t="s">
        <v>158</v>
      </c>
      <c r="B149" s="1">
        <v>44927</v>
      </c>
      <c r="C149">
        <v>1</v>
      </c>
      <c r="D149">
        <v>1</v>
      </c>
      <c r="E149">
        <v>2023</v>
      </c>
      <c r="F149" t="s">
        <v>233</v>
      </c>
      <c r="G149" t="s">
        <v>17</v>
      </c>
      <c r="H149">
        <v>64</v>
      </c>
      <c r="I149" t="s">
        <v>207</v>
      </c>
      <c r="J149">
        <v>1794.55</v>
      </c>
      <c r="K149">
        <v>1</v>
      </c>
      <c r="L149">
        <v>9.59</v>
      </c>
    </row>
    <row r="150" spans="1:12" x14ac:dyDescent="0.3">
      <c r="A150" t="s">
        <v>159</v>
      </c>
      <c r="B150" s="1">
        <v>45165</v>
      </c>
      <c r="C150">
        <v>27</v>
      </c>
      <c r="D150">
        <v>8</v>
      </c>
      <c r="E150">
        <v>2023</v>
      </c>
      <c r="F150" t="s">
        <v>234</v>
      </c>
      <c r="G150" t="s">
        <v>11</v>
      </c>
      <c r="H150">
        <v>39</v>
      </c>
      <c r="I150" t="s">
        <v>206</v>
      </c>
      <c r="J150">
        <v>2819.43</v>
      </c>
      <c r="K150">
        <v>1</v>
      </c>
      <c r="L150">
        <v>8.1300000000000008</v>
      </c>
    </row>
    <row r="151" spans="1:12" x14ac:dyDescent="0.3">
      <c r="A151" t="s">
        <v>160</v>
      </c>
      <c r="B151" s="1">
        <v>45022</v>
      </c>
      <c r="C151">
        <v>6</v>
      </c>
      <c r="D151">
        <v>4</v>
      </c>
      <c r="E151">
        <v>2023</v>
      </c>
      <c r="F151" t="s">
        <v>225</v>
      </c>
      <c r="G151" t="s">
        <v>24</v>
      </c>
      <c r="H151">
        <v>64</v>
      </c>
      <c r="I151" t="s">
        <v>207</v>
      </c>
      <c r="J151">
        <v>2272.79</v>
      </c>
      <c r="K151">
        <v>0</v>
      </c>
      <c r="L151">
        <v>18.2</v>
      </c>
    </row>
    <row r="152" spans="1:12" x14ac:dyDescent="0.3">
      <c r="A152" t="s">
        <v>161</v>
      </c>
      <c r="G152" t="s">
        <v>17</v>
      </c>
      <c r="H152">
        <v>25</v>
      </c>
      <c r="I152" t="s">
        <v>209</v>
      </c>
      <c r="J152">
        <v>2020.46</v>
      </c>
      <c r="K152">
        <v>1</v>
      </c>
      <c r="L152">
        <v>13</v>
      </c>
    </row>
    <row r="153" spans="1:12" x14ac:dyDescent="0.3">
      <c r="A153" t="s">
        <v>162</v>
      </c>
      <c r="B153" s="1">
        <v>44974</v>
      </c>
      <c r="C153">
        <v>17</v>
      </c>
      <c r="D153">
        <v>2</v>
      </c>
      <c r="E153">
        <v>2023</v>
      </c>
      <c r="F153" t="s">
        <v>232</v>
      </c>
      <c r="G153" t="s">
        <v>8</v>
      </c>
      <c r="H153">
        <v>42</v>
      </c>
      <c r="I153" t="s">
        <v>206</v>
      </c>
      <c r="J153">
        <v>633.20000000000005</v>
      </c>
      <c r="K153">
        <v>1</v>
      </c>
      <c r="L153">
        <v>3.61</v>
      </c>
    </row>
    <row r="154" spans="1:12" x14ac:dyDescent="0.3">
      <c r="A154" t="s">
        <v>163</v>
      </c>
      <c r="B154" s="1">
        <v>45015</v>
      </c>
      <c r="C154">
        <v>30</v>
      </c>
      <c r="D154">
        <v>3</v>
      </c>
      <c r="E154">
        <v>2023</v>
      </c>
      <c r="F154" t="s">
        <v>224</v>
      </c>
      <c r="G154" t="s">
        <v>8</v>
      </c>
      <c r="H154">
        <v>61</v>
      </c>
      <c r="I154" t="s">
        <v>207</v>
      </c>
      <c r="J154">
        <v>2808.28</v>
      </c>
      <c r="K154">
        <v>0</v>
      </c>
      <c r="L154">
        <v>2.2599999999999998</v>
      </c>
    </row>
    <row r="155" spans="1:12" x14ac:dyDescent="0.3">
      <c r="A155" t="s">
        <v>164</v>
      </c>
      <c r="B155" s="1">
        <v>45163</v>
      </c>
      <c r="C155">
        <v>25</v>
      </c>
      <c r="D155">
        <v>8</v>
      </c>
      <c r="E155">
        <v>2023</v>
      </c>
      <c r="F155" t="s">
        <v>234</v>
      </c>
      <c r="G155" t="s">
        <v>17</v>
      </c>
      <c r="H155">
        <v>36</v>
      </c>
      <c r="I155" t="s">
        <v>206</v>
      </c>
      <c r="J155">
        <v>2770.23</v>
      </c>
      <c r="K155">
        <v>0</v>
      </c>
      <c r="L155">
        <v>16.23</v>
      </c>
    </row>
    <row r="156" spans="1:12" x14ac:dyDescent="0.3">
      <c r="A156" t="s">
        <v>165</v>
      </c>
      <c r="B156" s="1">
        <v>45198</v>
      </c>
      <c r="C156">
        <v>29</v>
      </c>
      <c r="D156">
        <v>9</v>
      </c>
      <c r="E156">
        <v>2023</v>
      </c>
      <c r="F156" t="s">
        <v>227</v>
      </c>
      <c r="G156" t="s">
        <v>24</v>
      </c>
      <c r="H156">
        <v>59</v>
      </c>
      <c r="I156" t="s">
        <v>207</v>
      </c>
      <c r="J156">
        <v>2138.0500000000002</v>
      </c>
      <c r="K156">
        <v>0</v>
      </c>
      <c r="L156">
        <v>9.3699999999999992</v>
      </c>
    </row>
    <row r="157" spans="1:12" x14ac:dyDescent="0.3">
      <c r="A157" t="s">
        <v>166</v>
      </c>
      <c r="B157" s="1">
        <v>45115</v>
      </c>
      <c r="C157">
        <v>8</v>
      </c>
      <c r="D157">
        <v>7</v>
      </c>
      <c r="E157">
        <v>2023</v>
      </c>
      <c r="F157" t="s">
        <v>229</v>
      </c>
      <c r="G157" t="s">
        <v>8</v>
      </c>
      <c r="H157">
        <v>58</v>
      </c>
      <c r="I157" t="s">
        <v>207</v>
      </c>
      <c r="J157">
        <v>3373.33</v>
      </c>
      <c r="K157">
        <v>0</v>
      </c>
      <c r="L157">
        <v>13.75</v>
      </c>
    </row>
    <row r="158" spans="1:12" x14ac:dyDescent="0.3">
      <c r="A158" t="s">
        <v>167</v>
      </c>
      <c r="B158" s="1">
        <v>45118</v>
      </c>
      <c r="C158">
        <v>11</v>
      </c>
      <c r="D158">
        <v>7</v>
      </c>
      <c r="E158">
        <v>2023</v>
      </c>
      <c r="F158" t="s">
        <v>229</v>
      </c>
      <c r="G158" t="s">
        <v>11</v>
      </c>
      <c r="H158">
        <v>54</v>
      </c>
      <c r="I158" t="s">
        <v>208</v>
      </c>
      <c r="J158">
        <v>2352.77</v>
      </c>
      <c r="K158">
        <v>1</v>
      </c>
      <c r="L158">
        <v>6.41</v>
      </c>
    </row>
    <row r="159" spans="1:12" x14ac:dyDescent="0.3">
      <c r="A159" t="s">
        <v>168</v>
      </c>
      <c r="B159" s="1">
        <v>44995</v>
      </c>
      <c r="C159">
        <v>10</v>
      </c>
      <c r="D159">
        <v>3</v>
      </c>
      <c r="E159">
        <v>2023</v>
      </c>
      <c r="F159" t="s">
        <v>224</v>
      </c>
      <c r="G159" t="s">
        <v>8</v>
      </c>
      <c r="H159">
        <v>23</v>
      </c>
      <c r="I159" t="s">
        <v>210</v>
      </c>
      <c r="J159">
        <v>2999.84</v>
      </c>
      <c r="K159">
        <v>1</v>
      </c>
      <c r="L159">
        <v>18.28</v>
      </c>
    </row>
    <row r="160" spans="1:12" x14ac:dyDescent="0.3">
      <c r="A160" t="s">
        <v>169</v>
      </c>
      <c r="B160" s="1">
        <v>45204</v>
      </c>
      <c r="C160">
        <v>5</v>
      </c>
      <c r="D160">
        <v>10</v>
      </c>
      <c r="E160">
        <v>2023</v>
      </c>
      <c r="F160" t="s">
        <v>231</v>
      </c>
      <c r="G160" t="s">
        <v>24</v>
      </c>
      <c r="H160">
        <v>43</v>
      </c>
      <c r="I160" t="s">
        <v>206</v>
      </c>
      <c r="J160">
        <v>2336.2600000000002</v>
      </c>
      <c r="K160">
        <v>1</v>
      </c>
      <c r="L160">
        <v>2.2999999999999998</v>
      </c>
    </row>
    <row r="161" spans="1:12" x14ac:dyDescent="0.3">
      <c r="A161" t="s">
        <v>170</v>
      </c>
      <c r="B161" s="1">
        <v>45275</v>
      </c>
      <c r="C161">
        <v>15</v>
      </c>
      <c r="D161">
        <v>12</v>
      </c>
      <c r="E161">
        <v>2023</v>
      </c>
      <c r="F161" t="s">
        <v>226</v>
      </c>
      <c r="G161" t="s">
        <v>17</v>
      </c>
      <c r="H161">
        <v>51</v>
      </c>
      <c r="I161" t="s">
        <v>208</v>
      </c>
      <c r="J161">
        <v>1779.35</v>
      </c>
      <c r="K161">
        <v>0</v>
      </c>
      <c r="L161">
        <v>3.07</v>
      </c>
    </row>
    <row r="162" spans="1:12" x14ac:dyDescent="0.3">
      <c r="A162" t="s">
        <v>171</v>
      </c>
      <c r="B162" s="1">
        <v>45173</v>
      </c>
      <c r="C162">
        <v>4</v>
      </c>
      <c r="D162">
        <v>9</v>
      </c>
      <c r="E162">
        <v>2023</v>
      </c>
      <c r="F162" t="s">
        <v>227</v>
      </c>
      <c r="G162" t="s">
        <v>17</v>
      </c>
      <c r="H162">
        <v>62</v>
      </c>
      <c r="I162" t="s">
        <v>207</v>
      </c>
      <c r="J162">
        <v>1153.97</v>
      </c>
      <c r="K162">
        <v>0</v>
      </c>
      <c r="L162">
        <v>17.22</v>
      </c>
    </row>
    <row r="163" spans="1:12" x14ac:dyDescent="0.3">
      <c r="A163" t="s">
        <v>172</v>
      </c>
      <c r="B163" s="1">
        <v>45002</v>
      </c>
      <c r="C163">
        <v>17</v>
      </c>
      <c r="D163">
        <v>3</v>
      </c>
      <c r="E163">
        <v>2023</v>
      </c>
      <c r="F163" t="s">
        <v>224</v>
      </c>
      <c r="G163" t="s">
        <v>8</v>
      </c>
      <c r="H163">
        <v>23</v>
      </c>
      <c r="I163" t="s">
        <v>210</v>
      </c>
      <c r="J163">
        <v>1517.25</v>
      </c>
      <c r="K163">
        <v>0</v>
      </c>
      <c r="L163">
        <v>10.84</v>
      </c>
    </row>
    <row r="164" spans="1:12" x14ac:dyDescent="0.3">
      <c r="A164" t="s">
        <v>173</v>
      </c>
      <c r="B164" s="1">
        <v>45080</v>
      </c>
      <c r="C164">
        <v>3</v>
      </c>
      <c r="D164">
        <v>6</v>
      </c>
      <c r="E164">
        <v>2023</v>
      </c>
      <c r="F164" t="s">
        <v>228</v>
      </c>
      <c r="G164" t="s">
        <v>8</v>
      </c>
      <c r="H164">
        <v>54</v>
      </c>
      <c r="I164" t="s">
        <v>208</v>
      </c>
      <c r="J164">
        <v>1794.3</v>
      </c>
      <c r="K164">
        <v>0</v>
      </c>
      <c r="L164">
        <v>11.89</v>
      </c>
    </row>
    <row r="165" spans="1:12" x14ac:dyDescent="0.3">
      <c r="A165" t="s">
        <v>174</v>
      </c>
      <c r="B165" s="1">
        <v>45070</v>
      </c>
      <c r="C165">
        <v>24</v>
      </c>
      <c r="D165">
        <v>5</v>
      </c>
      <c r="E165">
        <v>2023</v>
      </c>
      <c r="F165" t="s">
        <v>195</v>
      </c>
      <c r="G165" t="s">
        <v>8</v>
      </c>
      <c r="H165">
        <v>50</v>
      </c>
      <c r="I165" t="s">
        <v>208</v>
      </c>
      <c r="J165">
        <v>3090.52</v>
      </c>
      <c r="K165">
        <v>0</v>
      </c>
      <c r="L165">
        <v>9.4600000000000009</v>
      </c>
    </row>
    <row r="166" spans="1:12" x14ac:dyDescent="0.3">
      <c r="A166" t="s">
        <v>175</v>
      </c>
      <c r="B166" s="1">
        <v>45012</v>
      </c>
      <c r="C166">
        <v>27</v>
      </c>
      <c r="D166">
        <v>3</v>
      </c>
      <c r="E166">
        <v>2023</v>
      </c>
      <c r="F166" t="s">
        <v>224</v>
      </c>
      <c r="G166" t="s">
        <v>8</v>
      </c>
      <c r="H166">
        <v>39</v>
      </c>
      <c r="I166" t="s">
        <v>206</v>
      </c>
      <c r="J166">
        <v>2615.94</v>
      </c>
      <c r="K166">
        <v>0</v>
      </c>
      <c r="L166">
        <v>6.32</v>
      </c>
    </row>
    <row r="167" spans="1:12" x14ac:dyDescent="0.3">
      <c r="A167" t="s">
        <v>176</v>
      </c>
      <c r="B167" s="1">
        <v>45111</v>
      </c>
      <c r="C167">
        <v>4</v>
      </c>
      <c r="D167">
        <v>7</v>
      </c>
      <c r="E167">
        <v>2023</v>
      </c>
      <c r="F167" t="s">
        <v>229</v>
      </c>
      <c r="G167" t="s">
        <v>17</v>
      </c>
      <c r="H167">
        <v>38</v>
      </c>
      <c r="I167" t="s">
        <v>206</v>
      </c>
      <c r="J167">
        <v>2264.2600000000002</v>
      </c>
      <c r="K167">
        <v>0</v>
      </c>
      <c r="L167">
        <v>9</v>
      </c>
    </row>
    <row r="168" spans="1:12" x14ac:dyDescent="0.3">
      <c r="A168" t="s">
        <v>177</v>
      </c>
      <c r="B168" s="1">
        <v>45211</v>
      </c>
      <c r="C168">
        <v>12</v>
      </c>
      <c r="D168">
        <v>10</v>
      </c>
      <c r="E168">
        <v>2023</v>
      </c>
      <c r="F168" t="s">
        <v>231</v>
      </c>
      <c r="G168" t="s">
        <v>17</v>
      </c>
      <c r="H168">
        <v>23</v>
      </c>
      <c r="I168" t="s">
        <v>210</v>
      </c>
      <c r="J168">
        <v>2696.01</v>
      </c>
      <c r="K168">
        <v>0</v>
      </c>
      <c r="L168">
        <v>5.76</v>
      </c>
    </row>
    <row r="169" spans="1:12" x14ac:dyDescent="0.3">
      <c r="A169" t="s">
        <v>178</v>
      </c>
      <c r="B169" s="1">
        <v>45146</v>
      </c>
      <c r="C169">
        <v>8</v>
      </c>
      <c r="D169">
        <v>8</v>
      </c>
      <c r="E169">
        <v>2023</v>
      </c>
      <c r="F169" t="s">
        <v>234</v>
      </c>
      <c r="G169" t="s">
        <v>24</v>
      </c>
      <c r="H169">
        <v>23</v>
      </c>
      <c r="I169" t="s">
        <v>210</v>
      </c>
      <c r="J169">
        <v>2421.91</v>
      </c>
      <c r="K169">
        <v>1</v>
      </c>
      <c r="L169">
        <v>17.71</v>
      </c>
    </row>
    <row r="170" spans="1:12" x14ac:dyDescent="0.3">
      <c r="A170" t="s">
        <v>179</v>
      </c>
      <c r="B170" s="1">
        <v>44995</v>
      </c>
      <c r="C170">
        <v>10</v>
      </c>
      <c r="D170">
        <v>3</v>
      </c>
      <c r="E170">
        <v>2023</v>
      </c>
      <c r="F170" t="s">
        <v>224</v>
      </c>
      <c r="G170" t="s">
        <v>24</v>
      </c>
      <c r="H170">
        <v>42</v>
      </c>
      <c r="I170" t="s">
        <v>206</v>
      </c>
      <c r="J170">
        <v>2209.5500000000002</v>
      </c>
      <c r="K170">
        <v>1</v>
      </c>
      <c r="L170">
        <v>19.02</v>
      </c>
    </row>
    <row r="171" spans="1:12" x14ac:dyDescent="0.3">
      <c r="A171" t="s">
        <v>180</v>
      </c>
      <c r="B171" s="1">
        <v>45020</v>
      </c>
      <c r="C171">
        <v>4</v>
      </c>
      <c r="D171">
        <v>4</v>
      </c>
      <c r="E171">
        <v>2023</v>
      </c>
      <c r="F171" t="s">
        <v>225</v>
      </c>
      <c r="G171" t="s">
        <v>17</v>
      </c>
      <c r="H171">
        <v>47</v>
      </c>
      <c r="I171" t="s">
        <v>208</v>
      </c>
      <c r="J171">
        <v>2911.33</v>
      </c>
      <c r="K171">
        <v>0</v>
      </c>
      <c r="L171">
        <v>11.38</v>
      </c>
    </row>
    <row r="172" spans="1:12" x14ac:dyDescent="0.3">
      <c r="A172" t="s">
        <v>181</v>
      </c>
      <c r="B172" s="1">
        <v>45164</v>
      </c>
      <c r="C172">
        <v>26</v>
      </c>
      <c r="D172">
        <v>8</v>
      </c>
      <c r="E172">
        <v>2023</v>
      </c>
      <c r="F172" t="s">
        <v>234</v>
      </c>
      <c r="G172" t="s">
        <v>24</v>
      </c>
      <c r="H172">
        <v>28</v>
      </c>
      <c r="I172" t="s">
        <v>209</v>
      </c>
      <c r="J172">
        <v>1633.19</v>
      </c>
      <c r="K172">
        <v>1</v>
      </c>
      <c r="L172">
        <v>3.37</v>
      </c>
    </row>
    <row r="173" spans="1:12" x14ac:dyDescent="0.3">
      <c r="A173" t="s">
        <v>182</v>
      </c>
      <c r="B173" s="1">
        <v>45130</v>
      </c>
      <c r="C173">
        <v>23</v>
      </c>
      <c r="D173">
        <v>7</v>
      </c>
      <c r="E173">
        <v>2023</v>
      </c>
      <c r="F173" t="s">
        <v>229</v>
      </c>
      <c r="G173" t="s">
        <v>17</v>
      </c>
      <c r="H173">
        <v>47</v>
      </c>
      <c r="I173" t="s">
        <v>208</v>
      </c>
      <c r="J173">
        <v>2870.83</v>
      </c>
      <c r="K173">
        <v>0</v>
      </c>
      <c r="L173">
        <v>15.37</v>
      </c>
    </row>
    <row r="174" spans="1:12" x14ac:dyDescent="0.3">
      <c r="A174" t="s">
        <v>183</v>
      </c>
      <c r="B174" s="1">
        <v>45144</v>
      </c>
      <c r="C174">
        <v>6</v>
      </c>
      <c r="D174">
        <v>8</v>
      </c>
      <c r="E174">
        <v>2023</v>
      </c>
      <c r="F174" t="s">
        <v>234</v>
      </c>
      <c r="G174" t="s">
        <v>8</v>
      </c>
      <c r="H174">
        <v>48</v>
      </c>
      <c r="I174" t="s">
        <v>208</v>
      </c>
      <c r="J174">
        <v>2133.5650000000001</v>
      </c>
      <c r="K174">
        <v>1</v>
      </c>
      <c r="L174">
        <v>15.24</v>
      </c>
    </row>
    <row r="175" spans="1:12" x14ac:dyDescent="0.3">
      <c r="A175" t="s">
        <v>184</v>
      </c>
      <c r="B175" s="1">
        <v>45267</v>
      </c>
      <c r="C175">
        <v>7</v>
      </c>
      <c r="D175">
        <v>12</v>
      </c>
      <c r="E175">
        <v>2023</v>
      </c>
      <c r="F175" t="s">
        <v>226</v>
      </c>
      <c r="G175" t="s">
        <v>8</v>
      </c>
      <c r="H175">
        <v>41</v>
      </c>
      <c r="I175" t="s">
        <v>206</v>
      </c>
      <c r="J175">
        <v>1463.97</v>
      </c>
      <c r="K175">
        <v>1</v>
      </c>
      <c r="L175">
        <v>8.52</v>
      </c>
    </row>
    <row r="176" spans="1:12" x14ac:dyDescent="0.3">
      <c r="A176" t="s">
        <v>185</v>
      </c>
      <c r="B176" s="1">
        <v>44965</v>
      </c>
      <c r="C176">
        <v>8</v>
      </c>
      <c r="D176">
        <v>2</v>
      </c>
      <c r="E176">
        <v>2023</v>
      </c>
      <c r="F176" t="s">
        <v>232</v>
      </c>
      <c r="G176" t="s">
        <v>8</v>
      </c>
      <c r="H176">
        <v>26</v>
      </c>
      <c r="I176" t="s">
        <v>209</v>
      </c>
      <c r="J176">
        <v>2759.77</v>
      </c>
      <c r="K176">
        <v>0</v>
      </c>
      <c r="L176">
        <v>10.08</v>
      </c>
    </row>
    <row r="177" spans="1:12" x14ac:dyDescent="0.3">
      <c r="A177" t="s">
        <v>186</v>
      </c>
      <c r="B177" s="1">
        <v>45026</v>
      </c>
      <c r="C177">
        <v>10</v>
      </c>
      <c r="D177">
        <v>4</v>
      </c>
      <c r="E177">
        <v>2023</v>
      </c>
      <c r="F177" t="s">
        <v>225</v>
      </c>
      <c r="G177" t="s">
        <v>24</v>
      </c>
      <c r="H177">
        <v>20</v>
      </c>
      <c r="I177" t="s">
        <v>210</v>
      </c>
      <c r="J177">
        <v>1711.21</v>
      </c>
      <c r="K177">
        <v>0</v>
      </c>
      <c r="L177">
        <v>9.5299999999999994</v>
      </c>
    </row>
    <row r="178" spans="1:12" x14ac:dyDescent="0.3">
      <c r="A178" t="s">
        <v>187</v>
      </c>
      <c r="B178" s="1">
        <v>45215</v>
      </c>
      <c r="C178">
        <v>16</v>
      </c>
      <c r="D178">
        <v>10</v>
      </c>
      <c r="E178">
        <v>2023</v>
      </c>
      <c r="F178" t="s">
        <v>231</v>
      </c>
      <c r="G178" t="s">
        <v>11</v>
      </c>
      <c r="H178">
        <v>48</v>
      </c>
      <c r="I178" t="s">
        <v>208</v>
      </c>
      <c r="J178">
        <v>1715.97</v>
      </c>
      <c r="K178">
        <v>0</v>
      </c>
      <c r="L178">
        <v>1.91</v>
      </c>
    </row>
    <row r="179" spans="1:12" x14ac:dyDescent="0.3">
      <c r="A179" t="s">
        <v>188</v>
      </c>
      <c r="B179" s="1">
        <v>45180</v>
      </c>
      <c r="C179">
        <v>11</v>
      </c>
      <c r="D179">
        <v>9</v>
      </c>
      <c r="E179">
        <v>2023</v>
      </c>
      <c r="F179" t="s">
        <v>227</v>
      </c>
      <c r="G179" t="s">
        <v>8</v>
      </c>
      <c r="H179">
        <v>57</v>
      </c>
      <c r="I179" t="s">
        <v>207</v>
      </c>
      <c r="J179">
        <v>2205.98</v>
      </c>
      <c r="K179">
        <v>0</v>
      </c>
      <c r="L179">
        <v>17.73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4CB-1907-4263-8CE5-F76825363138}">
  <dimension ref="A3:I30"/>
  <sheetViews>
    <sheetView topLeftCell="A19" workbookViewId="0">
      <selection activeCell="E29" sqref="E29"/>
    </sheetView>
  </sheetViews>
  <sheetFormatPr defaultRowHeight="14.4" x14ac:dyDescent="0.3"/>
  <cols>
    <col min="1" max="1" width="12.44140625" bestFit="1" customWidth="1"/>
    <col min="2" max="2" width="14.109375" bestFit="1" customWidth="1"/>
    <col min="3" max="3" width="9.21875" bestFit="1" customWidth="1"/>
    <col min="4" max="4" width="17.21875" bestFit="1" customWidth="1"/>
    <col min="5" max="5" width="18.21875" bestFit="1" customWidth="1"/>
    <col min="6" max="6" width="24.44140625" bestFit="1" customWidth="1"/>
    <col min="7" max="7" width="19.33203125" bestFit="1" customWidth="1"/>
    <col min="8" max="8" width="12.44140625" bestFit="1" customWidth="1"/>
    <col min="9" max="9" width="19.109375" bestFit="1" customWidth="1"/>
  </cols>
  <sheetData>
    <row r="3" spans="1:9" x14ac:dyDescent="0.3">
      <c r="A3" s="2" t="s">
        <v>189</v>
      </c>
      <c r="B3" t="s">
        <v>203</v>
      </c>
      <c r="E3" s="2" t="s">
        <v>189</v>
      </c>
      <c r="F3" t="s">
        <v>218</v>
      </c>
      <c r="G3" t="s">
        <v>214</v>
      </c>
    </row>
    <row r="4" spans="1:9" x14ac:dyDescent="0.3">
      <c r="A4" s="3" t="s">
        <v>191</v>
      </c>
      <c r="B4" s="4">
        <v>5.7692307692307696E-2</v>
      </c>
      <c r="E4" s="3" t="s">
        <v>8</v>
      </c>
      <c r="F4" s="5">
        <v>2018.6835624999999</v>
      </c>
      <c r="G4" s="4">
        <v>0.3888888888888889</v>
      </c>
    </row>
    <row r="5" spans="1:9" x14ac:dyDescent="0.3">
      <c r="A5" s="3" t="s">
        <v>192</v>
      </c>
      <c r="B5" s="4">
        <v>0.17307692307692307</v>
      </c>
      <c r="E5" s="3" t="s">
        <v>17</v>
      </c>
      <c r="F5" s="5">
        <v>2209.5430555555558</v>
      </c>
      <c r="G5" s="4">
        <v>0.25925925925925924</v>
      </c>
    </row>
    <row r="6" spans="1:9" x14ac:dyDescent="0.3">
      <c r="A6" s="3" t="s">
        <v>193</v>
      </c>
      <c r="B6" s="4">
        <v>7.6923076923076927E-2</v>
      </c>
      <c r="E6" s="3" t="s">
        <v>24</v>
      </c>
      <c r="F6" s="5">
        <v>2146.8770370370376</v>
      </c>
      <c r="G6" s="4">
        <v>0.16666666666666666</v>
      </c>
    </row>
    <row r="7" spans="1:9" x14ac:dyDescent="0.3">
      <c r="A7" s="3" t="s">
        <v>194</v>
      </c>
      <c r="B7" s="4">
        <v>7.6923076923076927E-2</v>
      </c>
      <c r="E7" s="3" t="s">
        <v>11</v>
      </c>
      <c r="F7" s="5">
        <v>2075.1341428571427</v>
      </c>
      <c r="G7" s="4">
        <v>0.18518518518518517</v>
      </c>
    </row>
    <row r="8" spans="1:9" x14ac:dyDescent="0.3">
      <c r="A8" s="3" t="s">
        <v>195</v>
      </c>
      <c r="B8" s="4">
        <v>0.15384615384615385</v>
      </c>
      <c r="E8" s="3" t="s">
        <v>190</v>
      </c>
      <c r="F8" s="5">
        <v>2087.8292696629201</v>
      </c>
      <c r="G8" s="4">
        <v>1</v>
      </c>
    </row>
    <row r="9" spans="1:9" x14ac:dyDescent="0.3">
      <c r="A9" s="3" t="s">
        <v>196</v>
      </c>
      <c r="B9" s="4">
        <v>7.6923076923076927E-2</v>
      </c>
    </row>
    <row r="10" spans="1:9" x14ac:dyDescent="0.3">
      <c r="A10" s="3" t="s">
        <v>197</v>
      </c>
      <c r="B10" s="4">
        <v>3.8461538461538464E-2</v>
      </c>
    </row>
    <row r="11" spans="1:9" x14ac:dyDescent="0.3">
      <c r="A11" s="3" t="s">
        <v>198</v>
      </c>
      <c r="B11" s="4">
        <v>0.11538461538461539</v>
      </c>
      <c r="E11" s="2" t="s">
        <v>189</v>
      </c>
      <c r="F11" t="s">
        <v>204</v>
      </c>
      <c r="H11" s="2" t="s">
        <v>189</v>
      </c>
      <c r="I11" t="s">
        <v>204</v>
      </c>
    </row>
    <row r="12" spans="1:9" x14ac:dyDescent="0.3">
      <c r="A12" s="3" t="s">
        <v>199</v>
      </c>
      <c r="B12" s="4">
        <v>3.8461538461538464E-2</v>
      </c>
      <c r="E12" s="3" t="s">
        <v>210</v>
      </c>
      <c r="F12" s="5">
        <v>47697.215000000004</v>
      </c>
      <c r="H12" s="3" t="s">
        <v>8</v>
      </c>
      <c r="I12">
        <v>161494.685</v>
      </c>
    </row>
    <row r="13" spans="1:9" x14ac:dyDescent="0.3">
      <c r="A13" s="3" t="s">
        <v>200</v>
      </c>
      <c r="B13" s="4">
        <v>0.11538461538461539</v>
      </c>
      <c r="E13" s="3" t="s">
        <v>208</v>
      </c>
      <c r="F13" s="5">
        <v>68062.955000000002</v>
      </c>
      <c r="H13" s="3" t="s">
        <v>17</v>
      </c>
      <c r="I13">
        <v>79543.55</v>
      </c>
    </row>
    <row r="14" spans="1:9" x14ac:dyDescent="0.3">
      <c r="A14" s="3" t="s">
        <v>201</v>
      </c>
      <c r="B14" s="4">
        <v>5.7692307692307696E-2</v>
      </c>
      <c r="E14" s="3" t="s">
        <v>209</v>
      </c>
      <c r="F14" s="5">
        <v>75216.000000000029</v>
      </c>
      <c r="H14" s="3" t="s">
        <v>24</v>
      </c>
      <c r="I14">
        <v>57965.680000000015</v>
      </c>
    </row>
    <row r="15" spans="1:9" x14ac:dyDescent="0.3">
      <c r="A15" s="3" t="s">
        <v>202</v>
      </c>
      <c r="B15" s="4">
        <v>1.9230769230769232E-2</v>
      </c>
      <c r="E15" s="3" t="s">
        <v>207</v>
      </c>
      <c r="F15" s="5">
        <v>78206.294999999984</v>
      </c>
      <c r="H15" s="3" t="s">
        <v>11</v>
      </c>
      <c r="I15">
        <v>72629.694999999992</v>
      </c>
    </row>
    <row r="16" spans="1:9" x14ac:dyDescent="0.3">
      <c r="A16" s="3" t="s">
        <v>190</v>
      </c>
      <c r="B16" s="4">
        <v>1</v>
      </c>
      <c r="E16" s="3" t="s">
        <v>206</v>
      </c>
      <c r="F16" s="5">
        <v>102451.14499999997</v>
      </c>
      <c r="H16" s="3" t="s">
        <v>190</v>
      </c>
      <c r="I16">
        <v>371633.61</v>
      </c>
    </row>
    <row r="17" spans="5:7" x14ac:dyDescent="0.3">
      <c r="E17" s="3" t="s">
        <v>190</v>
      </c>
      <c r="F17">
        <v>371633.61</v>
      </c>
    </row>
    <row r="19" spans="5:7" x14ac:dyDescent="0.3">
      <c r="E19" s="2" t="s">
        <v>189</v>
      </c>
      <c r="F19" t="s">
        <v>215</v>
      </c>
      <c r="G19" t="s">
        <v>214</v>
      </c>
    </row>
    <row r="20" spans="5:7" x14ac:dyDescent="0.3">
      <c r="E20" s="3" t="s">
        <v>210</v>
      </c>
      <c r="F20" s="5">
        <v>11.329199999999997</v>
      </c>
      <c r="G20" s="4">
        <v>0.22222222222222221</v>
      </c>
    </row>
    <row r="21" spans="5:7" x14ac:dyDescent="0.3">
      <c r="E21" s="3" t="s">
        <v>209</v>
      </c>
      <c r="F21" s="5">
        <v>11.285454545454543</v>
      </c>
      <c r="G21" s="4">
        <v>0.12962962962962962</v>
      </c>
    </row>
    <row r="22" spans="5:7" x14ac:dyDescent="0.3">
      <c r="E22" s="3" t="s">
        <v>206</v>
      </c>
      <c r="F22" s="5">
        <v>10.931666666666665</v>
      </c>
      <c r="G22" s="4">
        <v>0.31481481481481483</v>
      </c>
    </row>
    <row r="23" spans="5:7" x14ac:dyDescent="0.3">
      <c r="E23" s="3" t="s">
        <v>208</v>
      </c>
      <c r="F23" s="5">
        <v>10.048611111111111</v>
      </c>
      <c r="G23" s="4">
        <v>0.18518518518518517</v>
      </c>
    </row>
    <row r="24" spans="5:7" x14ac:dyDescent="0.3">
      <c r="E24" s="3" t="s">
        <v>207</v>
      </c>
      <c r="F24" s="5">
        <v>10.774444444444441</v>
      </c>
      <c r="G24" s="4">
        <v>0.14814814814814814</v>
      </c>
    </row>
    <row r="25" spans="5:7" x14ac:dyDescent="0.3">
      <c r="E25" s="3" t="s">
        <v>190</v>
      </c>
      <c r="F25" s="5">
        <v>10.842696629213485</v>
      </c>
      <c r="G25" s="4">
        <v>1</v>
      </c>
    </row>
    <row r="27" spans="5:7" x14ac:dyDescent="0.3">
      <c r="E27" t="s">
        <v>212</v>
      </c>
      <c r="F27" t="s">
        <v>211</v>
      </c>
      <c r="G27" t="s">
        <v>213</v>
      </c>
    </row>
    <row r="28" spans="5:7" x14ac:dyDescent="0.3">
      <c r="E28">
        <v>178</v>
      </c>
      <c r="F28" s="5">
        <v>10.842696629213481</v>
      </c>
      <c r="G28" s="4">
        <v>0.30337078651685395</v>
      </c>
    </row>
    <row r="29" spans="5:7" x14ac:dyDescent="0.3">
      <c r="E29" t="s">
        <v>216</v>
      </c>
      <c r="F29" t="s">
        <v>215</v>
      </c>
      <c r="G29" t="s">
        <v>217</v>
      </c>
    </row>
    <row r="30" spans="5:7" x14ac:dyDescent="0.3">
      <c r="E30">
        <f>GETPIVOTDATA("Count of CustomerID",$E$27)</f>
        <v>178</v>
      </c>
      <c r="F30" s="5">
        <f>GETPIVOTDATA("Average of WatchTimeHours",$E$27)</f>
        <v>10.842696629213481</v>
      </c>
      <c r="G30" s="6">
        <f>GETPIVOTDATA("Sum of totalchurn_pct",$E$27)</f>
        <v>0.30337078651685395</v>
      </c>
    </row>
  </sheetData>
  <conditionalFormatting pivot="1" sqref="F4:F7">
    <cfRule type="colorScale" priority="11">
      <colorScale>
        <cfvo type="min"/>
        <cfvo type="max"/>
        <color rgb="FFFCFCFF"/>
        <color rgb="FF63BE7B"/>
      </colorScale>
    </cfRule>
  </conditionalFormatting>
  <conditionalFormatting pivot="1" sqref="G20:G24">
    <cfRule type="colorScale" priority="8">
      <colorScale>
        <cfvo type="min"/>
        <cfvo type="max"/>
        <color rgb="FFFCFCFF"/>
        <color rgb="FFF8696B"/>
      </colorScale>
    </cfRule>
  </conditionalFormatting>
  <conditionalFormatting pivot="1" sqref="F20:F24">
    <cfRule type="colorScale" priority="5">
      <colorScale>
        <cfvo type="min"/>
        <cfvo type="max"/>
        <color rgb="FFF8696B"/>
        <color rgb="FFFCFCFF"/>
      </colorScale>
    </cfRule>
  </conditionalFormatting>
  <conditionalFormatting pivot="1" sqref="F12:F16">
    <cfRule type="colorScale" priority="4">
      <colorScale>
        <cfvo type="min"/>
        <cfvo type="percentile" val="50"/>
        <cfvo type="max"/>
        <color rgb="FFF8696B"/>
        <color rgb="FFFCFCFF"/>
        <color rgb="FF63BE7B"/>
      </colorScale>
    </cfRule>
  </conditionalFormatting>
  <conditionalFormatting pivot="1" sqref="G4:G7">
    <cfRule type="colorScale" priority="3">
      <colorScale>
        <cfvo type="min"/>
        <cfvo type="percentile" val="50"/>
        <cfvo type="max"/>
        <color rgb="FF63BE7B"/>
        <color rgb="FFFCFCFF"/>
        <color rgb="FFF8696B"/>
      </colorScale>
    </cfRule>
  </conditionalFormatting>
  <conditionalFormatting pivot="1" sqref="B5 B4 B6 B7 B8 B9 B10 B11 B12 B13 B14 B15">
    <cfRule type="colorScale" priority="2">
      <colorScale>
        <cfvo type="min"/>
        <cfvo type="max"/>
        <color rgb="FFFCFCFF"/>
        <color rgb="FFF8696B"/>
      </colorScale>
    </cfRule>
  </conditionalFormatting>
  <conditionalFormatting pivot="1" sqref="I12:I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607F-C4C8-4A2F-804B-75DF26333D1A}">
  <dimension ref="A1:W37"/>
  <sheetViews>
    <sheetView showGridLines="0" tabSelected="1" zoomScale="70" zoomScaleNormal="70" workbookViewId="0">
      <selection activeCell="V20" sqref="V20"/>
    </sheetView>
  </sheetViews>
  <sheetFormatPr defaultRowHeight="14.4" x14ac:dyDescent="0.3"/>
  <sheetData>
    <row r="1" spans="1:19" x14ac:dyDescent="0.3">
      <c r="A1" s="25" t="s">
        <v>222</v>
      </c>
      <c r="B1" s="25"/>
      <c r="C1" s="25"/>
      <c r="D1" s="25"/>
      <c r="E1" s="25"/>
      <c r="F1" s="25"/>
      <c r="G1" s="25"/>
      <c r="H1" s="25"/>
      <c r="I1" s="25"/>
      <c r="J1" s="25"/>
      <c r="K1" s="25"/>
      <c r="L1" s="25"/>
      <c r="M1" s="25"/>
      <c r="N1" s="25"/>
      <c r="O1" s="25"/>
      <c r="P1" s="25"/>
      <c r="Q1" s="25"/>
      <c r="R1" s="25"/>
      <c r="S1" s="25"/>
    </row>
    <row r="2" spans="1:19" x14ac:dyDescent="0.3">
      <c r="A2" s="25"/>
      <c r="B2" s="25"/>
      <c r="C2" s="25"/>
      <c r="D2" s="25"/>
      <c r="E2" s="25"/>
      <c r="F2" s="25"/>
      <c r="G2" s="25"/>
      <c r="H2" s="25"/>
      <c r="I2" s="25"/>
      <c r="J2" s="25"/>
      <c r="K2" s="25"/>
      <c r="L2" s="25"/>
      <c r="M2" s="25"/>
      <c r="N2" s="25"/>
      <c r="O2" s="25"/>
      <c r="P2" s="25"/>
      <c r="Q2" s="25"/>
      <c r="R2" s="25"/>
      <c r="S2" s="25"/>
    </row>
    <row r="3" spans="1:19" x14ac:dyDescent="0.3">
      <c r="A3" s="25"/>
      <c r="B3" s="25"/>
      <c r="C3" s="25"/>
      <c r="D3" s="25"/>
      <c r="E3" s="25"/>
      <c r="F3" s="25"/>
      <c r="G3" s="25"/>
      <c r="H3" s="25"/>
      <c r="I3" s="25"/>
      <c r="J3" s="25"/>
      <c r="K3" s="25"/>
      <c r="L3" s="25"/>
      <c r="M3" s="25"/>
      <c r="N3" s="25"/>
      <c r="O3" s="25"/>
      <c r="P3" s="25"/>
      <c r="Q3" s="25"/>
      <c r="R3" s="25"/>
      <c r="S3" s="25"/>
    </row>
    <row r="4" spans="1:19" x14ac:dyDescent="0.3">
      <c r="A4" s="25"/>
      <c r="B4" s="25"/>
      <c r="C4" s="25"/>
      <c r="D4" s="25"/>
      <c r="E4" s="25"/>
      <c r="F4" s="25"/>
      <c r="G4" s="25"/>
      <c r="H4" s="25"/>
      <c r="I4" s="25"/>
      <c r="J4" s="25"/>
      <c r="K4" s="25"/>
      <c r="L4" s="25"/>
      <c r="M4" s="25"/>
      <c r="N4" s="25"/>
      <c r="O4" s="25"/>
      <c r="P4" s="25"/>
      <c r="Q4" s="25"/>
      <c r="R4" s="25"/>
      <c r="S4" s="25"/>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23" x14ac:dyDescent="0.3">
      <c r="A17" s="7"/>
      <c r="B17" s="7"/>
      <c r="C17" s="7"/>
      <c r="D17" s="7"/>
      <c r="E17" s="7"/>
      <c r="F17" s="7"/>
      <c r="G17" s="7"/>
      <c r="H17" s="7"/>
      <c r="I17" s="7"/>
      <c r="J17" s="7"/>
      <c r="K17" s="7"/>
      <c r="L17" s="7"/>
      <c r="M17" s="7"/>
      <c r="N17" s="7"/>
      <c r="O17" s="7"/>
      <c r="P17" s="7"/>
      <c r="Q17" s="7"/>
      <c r="R17" s="7"/>
      <c r="S17" s="7"/>
    </row>
    <row r="18" spans="1:23" x14ac:dyDescent="0.3">
      <c r="A18" s="7"/>
      <c r="B18" s="7"/>
      <c r="C18" s="7"/>
      <c r="D18" s="7"/>
      <c r="E18" s="7"/>
      <c r="F18" s="7"/>
      <c r="G18" s="7"/>
      <c r="H18" s="7"/>
      <c r="I18" s="7"/>
      <c r="J18" s="7"/>
      <c r="K18" s="7"/>
      <c r="L18" s="7"/>
      <c r="M18" s="7"/>
      <c r="N18" s="7"/>
      <c r="O18" s="7"/>
      <c r="P18" s="7"/>
      <c r="Q18" s="7"/>
      <c r="R18" s="7"/>
      <c r="S18" s="7"/>
    </row>
    <row r="19" spans="1:23" x14ac:dyDescent="0.3">
      <c r="A19" s="7"/>
      <c r="B19" s="7"/>
      <c r="C19" s="7"/>
      <c r="D19" s="7"/>
      <c r="E19" s="7"/>
      <c r="F19" s="7"/>
      <c r="G19" s="7"/>
      <c r="H19" s="7"/>
      <c r="I19" s="7"/>
      <c r="J19" s="7"/>
      <c r="K19" s="7"/>
      <c r="L19" s="7"/>
      <c r="M19" s="7"/>
      <c r="N19" s="7"/>
      <c r="O19" s="7"/>
      <c r="P19" s="7"/>
      <c r="Q19" s="7"/>
      <c r="R19" s="7"/>
      <c r="S19" s="7"/>
      <c r="W19" s="26"/>
    </row>
    <row r="20" spans="1:23" x14ac:dyDescent="0.3">
      <c r="A20" s="7"/>
      <c r="B20" s="7"/>
      <c r="C20" s="7"/>
      <c r="D20" s="7"/>
      <c r="E20" s="7"/>
      <c r="F20" s="7"/>
      <c r="G20" s="7"/>
      <c r="H20" s="7"/>
      <c r="I20" s="7"/>
      <c r="J20" s="7"/>
      <c r="K20" s="7"/>
      <c r="L20" s="7"/>
      <c r="M20" s="7"/>
      <c r="N20" s="7"/>
      <c r="O20" s="7"/>
      <c r="P20" s="7"/>
      <c r="Q20" s="7"/>
      <c r="R20" s="7"/>
      <c r="S20" s="7"/>
    </row>
    <row r="21" spans="1:23" x14ac:dyDescent="0.3">
      <c r="A21" s="7"/>
      <c r="B21" s="7"/>
      <c r="C21" s="7"/>
      <c r="D21" s="7"/>
      <c r="E21" s="7"/>
      <c r="F21" s="7"/>
      <c r="G21" s="7"/>
      <c r="H21" s="7"/>
      <c r="I21" s="7"/>
      <c r="J21" s="7"/>
      <c r="K21" s="7"/>
      <c r="L21" s="7"/>
      <c r="M21" s="7"/>
      <c r="N21" s="7"/>
      <c r="O21" s="7"/>
      <c r="P21" s="7"/>
      <c r="Q21" s="7"/>
      <c r="R21" s="7"/>
      <c r="S21" s="7"/>
    </row>
    <row r="22" spans="1:23" x14ac:dyDescent="0.3">
      <c r="A22" s="7"/>
      <c r="B22" s="7"/>
      <c r="C22" s="7"/>
      <c r="D22" s="7"/>
      <c r="E22" s="7"/>
      <c r="F22" s="7"/>
      <c r="G22" s="7"/>
      <c r="H22" s="7"/>
      <c r="I22" s="7"/>
      <c r="J22" s="7"/>
      <c r="K22" s="7"/>
      <c r="L22" s="7"/>
      <c r="M22" s="7"/>
      <c r="N22" s="7"/>
      <c r="O22" s="7"/>
      <c r="P22" s="7"/>
      <c r="Q22" s="7"/>
      <c r="R22" s="7"/>
      <c r="S22" s="7"/>
    </row>
    <row r="23" spans="1:23" x14ac:dyDescent="0.3">
      <c r="A23" s="7"/>
      <c r="B23" s="7"/>
      <c r="C23" s="7"/>
      <c r="D23" s="7"/>
      <c r="E23" s="7"/>
      <c r="F23" s="7"/>
      <c r="G23" s="7"/>
      <c r="H23" s="7"/>
      <c r="I23" s="7"/>
      <c r="J23" s="7"/>
      <c r="K23" s="7"/>
      <c r="L23" s="7"/>
      <c r="M23" s="7"/>
      <c r="N23" s="7"/>
      <c r="O23" s="7"/>
      <c r="P23" s="7"/>
      <c r="Q23" s="7"/>
      <c r="R23" s="7"/>
      <c r="S23" s="7"/>
    </row>
    <row r="24" spans="1:23" x14ac:dyDescent="0.3">
      <c r="A24" s="7"/>
      <c r="B24" s="7"/>
      <c r="C24" s="7"/>
      <c r="D24" s="7"/>
      <c r="E24" s="7"/>
      <c r="F24" s="7"/>
      <c r="G24" s="7"/>
      <c r="H24" s="7"/>
      <c r="I24" s="7"/>
      <c r="J24" s="7"/>
      <c r="K24" s="7"/>
      <c r="L24" s="7"/>
      <c r="M24" s="7"/>
      <c r="N24" s="7"/>
      <c r="O24" s="7"/>
      <c r="P24" s="7"/>
      <c r="Q24" s="7"/>
      <c r="R24" s="7"/>
      <c r="S24" s="7"/>
    </row>
    <row r="25" spans="1:23" x14ac:dyDescent="0.3">
      <c r="A25" s="7"/>
      <c r="B25" s="7"/>
      <c r="C25" s="7"/>
      <c r="D25" s="7"/>
      <c r="E25" s="7"/>
      <c r="F25" s="7"/>
      <c r="G25" s="7"/>
      <c r="H25" s="7"/>
      <c r="I25" s="7"/>
      <c r="J25" s="7"/>
      <c r="K25" s="7"/>
      <c r="L25" s="7"/>
      <c r="M25" s="7"/>
      <c r="N25" s="7"/>
      <c r="O25" s="7"/>
      <c r="P25" s="7"/>
      <c r="Q25" s="7"/>
      <c r="R25" s="7"/>
      <c r="S25" s="7"/>
    </row>
    <row r="26" spans="1:23" x14ac:dyDescent="0.3">
      <c r="A26" s="7"/>
      <c r="B26" s="7"/>
      <c r="C26" s="7"/>
      <c r="D26" s="7"/>
      <c r="E26" s="7"/>
      <c r="F26" s="7"/>
      <c r="G26" s="7"/>
      <c r="H26" s="7"/>
      <c r="I26" s="7"/>
      <c r="J26" s="7"/>
      <c r="K26" s="7"/>
      <c r="L26" s="7"/>
      <c r="M26" s="7"/>
      <c r="N26" s="7"/>
      <c r="O26" s="7"/>
      <c r="P26" s="7"/>
      <c r="Q26" s="7"/>
      <c r="R26" s="7"/>
      <c r="S26" s="7"/>
    </row>
    <row r="27" spans="1:23" x14ac:dyDescent="0.3">
      <c r="A27" s="7"/>
      <c r="B27" s="7"/>
      <c r="C27" s="7"/>
      <c r="D27" s="7"/>
      <c r="E27" s="7"/>
      <c r="F27" s="7"/>
      <c r="G27" s="7"/>
      <c r="H27" s="7"/>
      <c r="I27" s="7"/>
      <c r="J27" s="7"/>
      <c r="K27" s="7"/>
      <c r="L27" s="7"/>
      <c r="M27" s="7"/>
      <c r="N27" s="7"/>
      <c r="O27" s="7"/>
      <c r="P27" s="7"/>
      <c r="Q27" s="7"/>
      <c r="R27" s="7"/>
      <c r="S27" s="7"/>
    </row>
    <row r="28" spans="1:23" x14ac:dyDescent="0.3">
      <c r="A28" s="7"/>
      <c r="B28" s="7"/>
      <c r="C28" s="7"/>
      <c r="D28" s="7"/>
      <c r="E28" s="7"/>
      <c r="F28" s="7"/>
      <c r="G28" s="7"/>
      <c r="H28" s="7"/>
      <c r="I28" s="7"/>
      <c r="J28" s="7"/>
      <c r="K28" s="7"/>
      <c r="L28" s="7"/>
      <c r="M28" s="7"/>
      <c r="N28" s="7"/>
      <c r="O28" s="7"/>
      <c r="P28" s="7"/>
      <c r="Q28" s="7"/>
      <c r="R28" s="7"/>
      <c r="S28" s="7"/>
    </row>
    <row r="29" spans="1:23" x14ac:dyDescent="0.3">
      <c r="A29" s="7"/>
      <c r="B29" s="7"/>
      <c r="C29" s="7"/>
      <c r="D29" s="7"/>
      <c r="E29" s="7"/>
      <c r="F29" s="7"/>
      <c r="G29" s="7"/>
      <c r="H29" s="7"/>
      <c r="I29" s="7"/>
      <c r="J29" s="7"/>
      <c r="K29" s="7"/>
      <c r="L29" s="7"/>
      <c r="M29" s="7"/>
      <c r="N29" s="7"/>
      <c r="O29" s="7"/>
      <c r="P29" s="7"/>
      <c r="Q29" s="7"/>
      <c r="R29" s="7"/>
      <c r="S29" s="7"/>
    </row>
    <row r="30" spans="1:23" x14ac:dyDescent="0.3">
      <c r="A30" s="7"/>
      <c r="B30" s="7"/>
      <c r="C30" s="7"/>
      <c r="D30" s="7"/>
      <c r="E30" s="7"/>
      <c r="F30" s="7"/>
      <c r="G30" s="7"/>
      <c r="H30" s="7"/>
      <c r="I30" s="7"/>
      <c r="J30" s="7"/>
      <c r="K30" s="7"/>
      <c r="L30" s="7"/>
      <c r="M30" s="7"/>
      <c r="N30" s="7"/>
      <c r="O30" s="7"/>
      <c r="P30" s="7"/>
      <c r="Q30" s="7"/>
      <c r="R30" s="7"/>
      <c r="S30" s="7"/>
    </row>
    <row r="31" spans="1:23" x14ac:dyDescent="0.3">
      <c r="A31" s="7"/>
      <c r="B31" s="7"/>
      <c r="C31" s="7"/>
      <c r="D31" s="7"/>
      <c r="E31" s="7"/>
      <c r="F31" s="7"/>
      <c r="G31" s="7"/>
      <c r="H31" s="7"/>
      <c r="I31" s="7"/>
      <c r="J31" s="7"/>
      <c r="K31" s="7"/>
      <c r="L31" s="7"/>
      <c r="M31" s="7"/>
      <c r="N31" s="7"/>
      <c r="O31" s="7"/>
      <c r="P31" s="7"/>
      <c r="Q31" s="7"/>
      <c r="R31" s="7"/>
      <c r="S31" s="7"/>
    </row>
    <row r="32" spans="1:23" x14ac:dyDescent="0.3">
      <c r="A32" s="7"/>
      <c r="B32" s="7"/>
      <c r="C32" s="7"/>
      <c r="D32" s="7"/>
      <c r="E32" s="7"/>
      <c r="F32" s="7"/>
      <c r="G32" s="7"/>
      <c r="H32" s="7"/>
      <c r="I32" s="7"/>
      <c r="J32" s="7"/>
      <c r="K32" s="7"/>
      <c r="L32" s="7"/>
      <c r="M32" s="7"/>
      <c r="N32" s="7"/>
      <c r="O32" s="7"/>
      <c r="P32" s="7"/>
      <c r="Q32" s="7"/>
      <c r="R32" s="7"/>
      <c r="S32" s="7"/>
    </row>
    <row r="33" spans="1:21" x14ac:dyDescent="0.3">
      <c r="A33" s="7"/>
      <c r="B33" s="7"/>
      <c r="C33" s="7"/>
      <c r="D33" s="7"/>
      <c r="E33" s="7"/>
      <c r="F33" s="7"/>
      <c r="G33" s="7"/>
      <c r="H33" s="7"/>
      <c r="I33" s="7"/>
      <c r="J33" s="7"/>
      <c r="K33" s="7"/>
      <c r="L33" s="7"/>
      <c r="M33" s="7"/>
      <c r="N33" s="7"/>
      <c r="O33" s="7"/>
      <c r="P33" s="7"/>
      <c r="Q33" s="7"/>
      <c r="R33" s="7"/>
      <c r="S33" s="7"/>
    </row>
    <row r="34" spans="1:21" x14ac:dyDescent="0.3">
      <c r="A34" s="7"/>
      <c r="B34" s="7"/>
      <c r="C34" s="7"/>
      <c r="D34" s="7"/>
      <c r="E34" s="7"/>
      <c r="F34" s="7"/>
      <c r="G34" s="7"/>
      <c r="H34" s="7"/>
      <c r="I34" s="7"/>
      <c r="J34" s="7"/>
      <c r="K34" s="7"/>
      <c r="L34" s="7"/>
      <c r="M34" s="7"/>
      <c r="N34" s="7"/>
      <c r="O34" s="7"/>
      <c r="P34" s="7"/>
      <c r="Q34" s="7"/>
      <c r="R34" s="7"/>
      <c r="S34" s="7"/>
    </row>
    <row r="35" spans="1:21" x14ac:dyDescent="0.3">
      <c r="A35" s="7"/>
      <c r="B35" s="7"/>
      <c r="C35" s="7"/>
      <c r="D35" s="7"/>
      <c r="E35" s="7"/>
      <c r="F35" s="7"/>
      <c r="G35" s="7"/>
      <c r="H35" s="7"/>
      <c r="I35" s="7"/>
      <c r="J35" s="7"/>
      <c r="K35" s="7"/>
      <c r="L35" s="7"/>
      <c r="M35" s="7"/>
      <c r="N35" s="7"/>
      <c r="O35" s="7"/>
      <c r="P35" s="7"/>
      <c r="Q35" s="7"/>
      <c r="R35" s="7"/>
      <c r="S35" s="7"/>
      <c r="U35" s="8"/>
    </row>
    <row r="36" spans="1:21" x14ac:dyDescent="0.3">
      <c r="A36" s="7"/>
      <c r="B36" s="7"/>
      <c r="C36" s="7"/>
      <c r="D36" s="7"/>
      <c r="E36" s="7"/>
      <c r="F36" s="7"/>
      <c r="G36" s="7"/>
      <c r="H36" s="7"/>
      <c r="I36" s="7"/>
      <c r="J36" s="7"/>
      <c r="K36" s="7"/>
      <c r="L36" s="7"/>
      <c r="M36" s="7"/>
      <c r="N36" s="7"/>
      <c r="O36" s="7"/>
      <c r="P36" s="7"/>
      <c r="Q36" s="7"/>
      <c r="R36" s="7"/>
      <c r="S36" s="7"/>
    </row>
    <row r="37" spans="1:21" x14ac:dyDescent="0.3">
      <c r="A37" s="7"/>
      <c r="B37" s="7"/>
      <c r="C37" s="7"/>
      <c r="D37" s="7"/>
      <c r="E37" s="7"/>
      <c r="F37" s="7"/>
      <c r="G37" s="7"/>
      <c r="H37" s="7"/>
      <c r="I37" s="7"/>
      <c r="J37" s="7"/>
      <c r="K37" s="7"/>
      <c r="L37" s="7"/>
      <c r="M37" s="7"/>
      <c r="N37" s="7"/>
      <c r="O37" s="7"/>
      <c r="P37" s="7"/>
      <c r="Q37" s="7"/>
      <c r="R37" s="7"/>
      <c r="S37" s="7"/>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715C-EA32-4208-BBAA-656D4C8BAD14}">
  <dimension ref="B2:J51"/>
  <sheetViews>
    <sheetView showGridLines="0" workbookViewId="0">
      <selection activeCell="B2" sqref="B2:J3"/>
    </sheetView>
  </sheetViews>
  <sheetFormatPr defaultRowHeight="14.4" x14ac:dyDescent="0.3"/>
  <cols>
    <col min="2" max="6" width="30" customWidth="1"/>
    <col min="7" max="10" width="1.77734375" customWidth="1"/>
  </cols>
  <sheetData>
    <row r="2" spans="2:10" ht="14.4" customHeight="1" x14ac:dyDescent="0.3">
      <c r="B2" s="19" t="s">
        <v>268</v>
      </c>
      <c r="C2" s="20"/>
      <c r="D2" s="20"/>
      <c r="E2" s="20"/>
      <c r="F2" s="20"/>
      <c r="G2" s="20"/>
      <c r="H2" s="20"/>
      <c r="I2" s="20"/>
      <c r="J2" s="21"/>
    </row>
    <row r="3" spans="2:10" ht="14.4" customHeight="1" x14ac:dyDescent="0.3">
      <c r="B3" s="22"/>
      <c r="C3" s="23"/>
      <c r="D3" s="23"/>
      <c r="E3" s="23"/>
      <c r="F3" s="23"/>
      <c r="G3" s="23"/>
      <c r="H3" s="23"/>
      <c r="I3" s="23"/>
      <c r="J3" s="24"/>
    </row>
    <row r="4" spans="2:10" x14ac:dyDescent="0.3">
      <c r="B4" s="9"/>
      <c r="J4" s="10"/>
    </row>
    <row r="5" spans="2:10" x14ac:dyDescent="0.3">
      <c r="B5" s="11" t="s">
        <v>235</v>
      </c>
      <c r="J5" s="10"/>
    </row>
    <row r="6" spans="2:10" x14ac:dyDescent="0.3">
      <c r="B6" s="16" t="s">
        <v>267</v>
      </c>
      <c r="C6" s="17"/>
      <c r="D6" s="17"/>
      <c r="E6" s="17"/>
      <c r="F6" s="17"/>
      <c r="G6" s="17"/>
      <c r="H6" s="17"/>
      <c r="I6" s="17"/>
      <c r="J6" s="18"/>
    </row>
    <row r="7" spans="2:10" x14ac:dyDescent="0.3">
      <c r="B7" s="9" t="s">
        <v>266</v>
      </c>
      <c r="J7" s="10"/>
    </row>
    <row r="8" spans="2:10" x14ac:dyDescent="0.3">
      <c r="B8" s="9"/>
      <c r="J8" s="10"/>
    </row>
    <row r="9" spans="2:10" x14ac:dyDescent="0.3">
      <c r="B9" s="11" t="s">
        <v>236</v>
      </c>
      <c r="J9" s="10"/>
    </row>
    <row r="10" spans="2:10" x14ac:dyDescent="0.3">
      <c r="B10" s="12" t="s">
        <v>237</v>
      </c>
      <c r="J10" s="10"/>
    </row>
    <row r="11" spans="2:10" x14ac:dyDescent="0.3">
      <c r="B11" s="16" t="s">
        <v>238</v>
      </c>
      <c r="C11" s="17"/>
      <c r="D11" s="17"/>
      <c r="E11" s="17"/>
      <c r="F11" s="17"/>
      <c r="G11" s="17"/>
      <c r="H11" s="17"/>
      <c r="I11" s="17"/>
      <c r="J11" s="18"/>
    </row>
    <row r="12" spans="2:10" x14ac:dyDescent="0.3">
      <c r="B12" s="16" t="s">
        <v>239</v>
      </c>
      <c r="C12" s="17"/>
      <c r="D12" s="17"/>
      <c r="E12" s="17"/>
      <c r="F12" s="17"/>
      <c r="G12" s="17"/>
      <c r="H12" s="17"/>
      <c r="I12" s="17"/>
      <c r="J12" s="18"/>
    </row>
    <row r="13" spans="2:10" x14ac:dyDescent="0.3">
      <c r="B13" s="12" t="s">
        <v>240</v>
      </c>
      <c r="J13" s="10"/>
    </row>
    <row r="14" spans="2:10" x14ac:dyDescent="0.3">
      <c r="B14" s="16" t="s">
        <v>241</v>
      </c>
      <c r="C14" s="17"/>
      <c r="D14" s="17"/>
      <c r="E14" s="17"/>
      <c r="F14" s="17"/>
      <c r="G14" s="17"/>
      <c r="H14" s="17"/>
      <c r="I14" s="17"/>
      <c r="J14" s="18"/>
    </row>
    <row r="15" spans="2:10" x14ac:dyDescent="0.3">
      <c r="B15" s="9"/>
      <c r="J15" s="10"/>
    </row>
    <row r="16" spans="2:10" x14ac:dyDescent="0.3">
      <c r="B16" s="11" t="s">
        <v>242</v>
      </c>
      <c r="J16" s="10"/>
    </row>
    <row r="17" spans="2:10" x14ac:dyDescent="0.3">
      <c r="B17" s="12" t="s">
        <v>237</v>
      </c>
      <c r="J17" s="10"/>
    </row>
    <row r="18" spans="2:10" x14ac:dyDescent="0.3">
      <c r="B18" s="16" t="s">
        <v>243</v>
      </c>
      <c r="C18" s="17"/>
      <c r="D18" s="17"/>
      <c r="E18" s="17"/>
      <c r="F18" s="17"/>
      <c r="G18" s="17"/>
      <c r="H18" s="17"/>
      <c r="I18" s="17"/>
      <c r="J18" s="18"/>
    </row>
    <row r="19" spans="2:10" x14ac:dyDescent="0.3">
      <c r="B19" s="16" t="s">
        <v>244</v>
      </c>
      <c r="C19" s="17"/>
      <c r="D19" s="17"/>
      <c r="E19" s="17"/>
      <c r="F19" s="17"/>
      <c r="G19" s="17"/>
      <c r="H19" s="17"/>
      <c r="I19" s="17"/>
      <c r="J19" s="18"/>
    </row>
    <row r="20" spans="2:10" x14ac:dyDescent="0.3">
      <c r="B20" s="16" t="s">
        <v>245</v>
      </c>
      <c r="C20" s="17"/>
      <c r="D20" s="17"/>
      <c r="E20" s="17"/>
      <c r="F20" s="17"/>
      <c r="G20" s="17"/>
      <c r="H20" s="17"/>
      <c r="I20" s="17"/>
      <c r="J20" s="18"/>
    </row>
    <row r="21" spans="2:10" x14ac:dyDescent="0.3">
      <c r="B21" s="12" t="s">
        <v>240</v>
      </c>
      <c r="J21" s="10"/>
    </row>
    <row r="22" spans="2:10" x14ac:dyDescent="0.3">
      <c r="B22" s="16" t="s">
        <v>246</v>
      </c>
      <c r="C22" s="17"/>
      <c r="D22" s="17"/>
      <c r="E22" s="17"/>
      <c r="F22" s="17"/>
      <c r="G22" s="17"/>
      <c r="H22" s="17"/>
      <c r="I22" s="17"/>
      <c r="J22" s="18"/>
    </row>
    <row r="23" spans="2:10" x14ac:dyDescent="0.3">
      <c r="B23" s="16" t="s">
        <v>247</v>
      </c>
      <c r="C23" s="17"/>
      <c r="D23" s="17"/>
      <c r="E23" s="17"/>
      <c r="F23" s="17"/>
      <c r="G23" s="17"/>
      <c r="H23" s="17"/>
      <c r="I23" s="17"/>
      <c r="J23" s="18"/>
    </row>
    <row r="24" spans="2:10" x14ac:dyDescent="0.3">
      <c r="B24" s="9"/>
      <c r="J24" s="10"/>
    </row>
    <row r="25" spans="2:10" x14ac:dyDescent="0.3">
      <c r="B25" s="11" t="s">
        <v>248</v>
      </c>
      <c r="J25" s="10"/>
    </row>
    <row r="26" spans="2:10" x14ac:dyDescent="0.3">
      <c r="B26" s="12" t="s">
        <v>237</v>
      </c>
      <c r="J26" s="10"/>
    </row>
    <row r="27" spans="2:10" x14ac:dyDescent="0.3">
      <c r="B27" s="16" t="s">
        <v>249</v>
      </c>
      <c r="C27" s="17"/>
      <c r="D27" s="17"/>
      <c r="E27" s="17"/>
      <c r="F27" s="17"/>
      <c r="G27" s="17"/>
      <c r="H27" s="17"/>
      <c r="I27" s="17"/>
      <c r="J27" s="18"/>
    </row>
    <row r="28" spans="2:10" x14ac:dyDescent="0.3">
      <c r="B28" s="16" t="s">
        <v>250</v>
      </c>
      <c r="C28" s="17"/>
      <c r="D28" s="17"/>
      <c r="E28" s="17"/>
      <c r="F28" s="17"/>
      <c r="G28" s="17"/>
      <c r="H28" s="17"/>
      <c r="I28" s="17"/>
      <c r="J28" s="18"/>
    </row>
    <row r="29" spans="2:10" x14ac:dyDescent="0.3">
      <c r="B29" s="16" t="s">
        <v>251</v>
      </c>
      <c r="C29" s="17"/>
      <c r="D29" s="17"/>
      <c r="E29" s="17"/>
      <c r="F29" s="17"/>
      <c r="G29" s="17"/>
      <c r="H29" s="17"/>
      <c r="I29" s="17"/>
      <c r="J29" s="18"/>
    </row>
    <row r="30" spans="2:10" x14ac:dyDescent="0.3">
      <c r="B30" s="12" t="s">
        <v>240</v>
      </c>
      <c r="J30" s="10"/>
    </row>
    <row r="31" spans="2:10" x14ac:dyDescent="0.3">
      <c r="B31" s="16" t="s">
        <v>252</v>
      </c>
      <c r="C31" s="17"/>
      <c r="D31" s="17"/>
      <c r="E31" s="17"/>
      <c r="F31" s="17"/>
      <c r="G31" s="17"/>
      <c r="H31" s="17"/>
      <c r="I31" s="17"/>
      <c r="J31" s="18"/>
    </row>
    <row r="32" spans="2:10" x14ac:dyDescent="0.3">
      <c r="B32" s="16" t="s">
        <v>253</v>
      </c>
      <c r="C32" s="17"/>
      <c r="D32" s="17"/>
      <c r="E32" s="17"/>
      <c r="F32" s="17"/>
      <c r="G32" s="17"/>
      <c r="H32" s="17"/>
      <c r="I32" s="17"/>
      <c r="J32" s="18"/>
    </row>
    <row r="33" spans="2:10" x14ac:dyDescent="0.3">
      <c r="B33" s="16" t="s">
        <v>254</v>
      </c>
      <c r="C33" s="17"/>
      <c r="D33" s="17"/>
      <c r="E33" s="17"/>
      <c r="F33" s="17"/>
      <c r="G33" s="17"/>
      <c r="H33" s="17"/>
      <c r="I33" s="17"/>
      <c r="J33" s="18"/>
    </row>
    <row r="34" spans="2:10" x14ac:dyDescent="0.3">
      <c r="B34" s="9"/>
      <c r="J34" s="10"/>
    </row>
    <row r="35" spans="2:10" x14ac:dyDescent="0.3">
      <c r="B35" s="11" t="s">
        <v>255</v>
      </c>
      <c r="J35" s="10"/>
    </row>
    <row r="36" spans="2:10" x14ac:dyDescent="0.3">
      <c r="B36" s="12" t="s">
        <v>237</v>
      </c>
      <c r="J36" s="10"/>
    </row>
    <row r="37" spans="2:10" x14ac:dyDescent="0.3">
      <c r="B37" s="16" t="s">
        <v>256</v>
      </c>
      <c r="C37" s="17"/>
      <c r="D37" s="17"/>
      <c r="E37" s="17"/>
      <c r="F37" s="17"/>
      <c r="G37" s="17"/>
      <c r="H37" s="17"/>
      <c r="I37" s="17"/>
      <c r="J37" s="18"/>
    </row>
    <row r="38" spans="2:10" x14ac:dyDescent="0.3">
      <c r="B38" s="16" t="s">
        <v>257</v>
      </c>
      <c r="C38" s="17"/>
      <c r="D38" s="17"/>
      <c r="E38" s="17"/>
      <c r="F38" s="17"/>
      <c r="G38" s="17"/>
      <c r="H38" s="17"/>
      <c r="I38" s="17"/>
      <c r="J38" s="18"/>
    </row>
    <row r="39" spans="2:10" x14ac:dyDescent="0.3">
      <c r="B39" s="16" t="s">
        <v>258</v>
      </c>
      <c r="C39" s="17"/>
      <c r="D39" s="17"/>
      <c r="E39" s="17"/>
      <c r="F39" s="17"/>
      <c r="G39" s="17"/>
      <c r="H39" s="17"/>
      <c r="I39" s="17"/>
      <c r="J39" s="18"/>
    </row>
    <row r="40" spans="2:10" x14ac:dyDescent="0.3">
      <c r="B40" s="12" t="s">
        <v>240</v>
      </c>
      <c r="J40" s="10"/>
    </row>
    <row r="41" spans="2:10" x14ac:dyDescent="0.3">
      <c r="B41" s="16" t="s">
        <v>259</v>
      </c>
      <c r="C41" s="17"/>
      <c r="D41" s="17"/>
      <c r="E41" s="17"/>
      <c r="F41" s="17"/>
      <c r="G41" s="17"/>
      <c r="H41" s="17"/>
      <c r="I41" s="17"/>
      <c r="J41" s="18"/>
    </row>
    <row r="42" spans="2:10" x14ac:dyDescent="0.3">
      <c r="B42" s="16" t="s">
        <v>260</v>
      </c>
      <c r="C42" s="17"/>
      <c r="D42" s="17"/>
      <c r="E42" s="17"/>
      <c r="F42" s="17"/>
      <c r="G42" s="17"/>
      <c r="H42" s="17"/>
      <c r="I42" s="17"/>
      <c r="J42" s="18"/>
    </row>
    <row r="43" spans="2:10" x14ac:dyDescent="0.3">
      <c r="B43" s="9"/>
      <c r="J43" s="10"/>
    </row>
    <row r="44" spans="2:10" x14ac:dyDescent="0.3">
      <c r="B44" s="11" t="s">
        <v>261</v>
      </c>
      <c r="J44" s="10"/>
    </row>
    <row r="45" spans="2:10" x14ac:dyDescent="0.3">
      <c r="B45" s="12" t="s">
        <v>237</v>
      </c>
      <c r="J45" s="10"/>
    </row>
    <row r="46" spans="2:10" x14ac:dyDescent="0.3">
      <c r="B46" s="16" t="s">
        <v>262</v>
      </c>
      <c r="C46" s="17"/>
      <c r="D46" s="17"/>
      <c r="E46" s="17"/>
      <c r="F46" s="17"/>
      <c r="G46" s="17"/>
      <c r="H46" s="17"/>
      <c r="I46" s="17"/>
      <c r="J46" s="18"/>
    </row>
    <row r="47" spans="2:10" x14ac:dyDescent="0.3">
      <c r="B47" s="16" t="s">
        <v>263</v>
      </c>
      <c r="C47" s="17"/>
      <c r="D47" s="17"/>
      <c r="E47" s="17"/>
      <c r="F47" s="17"/>
      <c r="G47" s="17"/>
      <c r="H47" s="17"/>
      <c r="I47" s="17"/>
      <c r="J47" s="18"/>
    </row>
    <row r="48" spans="2:10" x14ac:dyDescent="0.3">
      <c r="B48" s="12" t="s">
        <v>240</v>
      </c>
      <c r="J48" s="10"/>
    </row>
    <row r="49" spans="2:10" x14ac:dyDescent="0.3">
      <c r="B49" s="16" t="s">
        <v>264</v>
      </c>
      <c r="C49" s="17"/>
      <c r="D49" s="17"/>
      <c r="E49" s="17"/>
      <c r="F49" s="17"/>
      <c r="G49" s="17"/>
      <c r="H49" s="17"/>
      <c r="I49" s="17"/>
      <c r="J49" s="18"/>
    </row>
    <row r="50" spans="2:10" x14ac:dyDescent="0.3">
      <c r="B50" s="16" t="s">
        <v>265</v>
      </c>
      <c r="C50" s="17"/>
      <c r="D50" s="17"/>
      <c r="E50" s="17"/>
      <c r="F50" s="17"/>
      <c r="G50" s="17"/>
      <c r="H50" s="17"/>
      <c r="I50" s="17"/>
      <c r="J50" s="18"/>
    </row>
    <row r="51" spans="2:10" x14ac:dyDescent="0.3">
      <c r="B51" s="13"/>
      <c r="C51" s="14"/>
      <c r="D51" s="14"/>
      <c r="E51" s="14"/>
      <c r="F51" s="14"/>
      <c r="G51" s="14"/>
      <c r="H51" s="14"/>
      <c r="I51" s="14"/>
      <c r="J51" s="15"/>
    </row>
  </sheetData>
  <mergeCells count="25">
    <mergeCell ref="B50:J50"/>
    <mergeCell ref="B6:J6"/>
    <mergeCell ref="B31:J31"/>
    <mergeCell ref="B46:J46"/>
    <mergeCell ref="B27:J27"/>
    <mergeCell ref="B49:J49"/>
    <mergeCell ref="B18:J18"/>
    <mergeCell ref="B33:J33"/>
    <mergeCell ref="B39:J39"/>
    <mergeCell ref="B20:J20"/>
    <mergeCell ref="B38:J38"/>
    <mergeCell ref="B29:J29"/>
    <mergeCell ref="B19:J19"/>
    <mergeCell ref="B47:J47"/>
    <mergeCell ref="B22:J22"/>
    <mergeCell ref="B42:J42"/>
    <mergeCell ref="B23:J23"/>
    <mergeCell ref="B41:J41"/>
    <mergeCell ref="B32:J32"/>
    <mergeCell ref="B2:J3"/>
    <mergeCell ref="B12:J12"/>
    <mergeCell ref="B28:J28"/>
    <mergeCell ref="B37:J37"/>
    <mergeCell ref="B14:J14"/>
    <mergeCell ref="B11:J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86AEEC-0D53-4AF4-8CBB-2552162438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raw_data_clean_2</vt:lpstr>
      <vt:lpstr>PivotTables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Herrera</dc:creator>
  <cp:lastModifiedBy>Paulo Herrera</cp:lastModifiedBy>
  <dcterms:created xsi:type="dcterms:W3CDTF">2026-04-12T13:16:47Z</dcterms:created>
  <dcterms:modified xsi:type="dcterms:W3CDTF">2026-04-14T05:50:43Z</dcterms:modified>
</cp:coreProperties>
</file>